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RT Dallas\Timmins\Accounts Drive\B\BLVD Group, LLC\2024\"/>
    </mc:Choice>
  </mc:AlternateContent>
  <xr:revisionPtr revIDLastSave="0" documentId="8_{34773DFE-3766-44FF-9EBA-C514BBD7FFE6}" xr6:coauthVersionLast="47" xr6:coauthVersionMax="47" xr10:uidLastSave="{00000000-0000-0000-0000-000000000000}"/>
  <bookViews>
    <workbookView xWindow="-120" yWindow="-120" windowWidth="29040" windowHeight="15840" tabRatio="856" xr2:uid="{00000000-000D-0000-FFFF-FFFF00000000}"/>
  </bookViews>
  <sheets>
    <sheet name="RUNNING SOV" sheetId="27" r:id="rId1"/>
  </sheets>
  <externalReferences>
    <externalReference r:id="rId2"/>
  </externalReferences>
  <definedNames>
    <definedName name="accountIdNamedRange">#REF!</definedName>
    <definedName name="accountIdTitleNamedRange">#REF!</definedName>
    <definedName name="accountNameNamedRange">#REF!</definedName>
    <definedName name="accountNameTitleNamedRange">#REF!</definedName>
    <definedName name="AddressInformationHeaderNamedRange">#REF!</definedName>
    <definedName name="ATC">#REF!</definedName>
    <definedName name="BiSecondaryModifiersHeaderNamedRange">#REF!</definedName>
    <definedName name="brokerNamedRange">#REF!</definedName>
    <definedName name="BuildingAttributesHeaderNamedRange">#REF!</definedName>
    <definedName name="CL_AAL_WS">#REF!</definedName>
    <definedName name="CL_COVAR_WS">#REF!</definedName>
    <definedName name="CL_STDDEV_WS">#REF!</definedName>
    <definedName name="clientNamedRange">#REF!</definedName>
    <definedName name="COUNTRIES">[1]Data!$B$21:$B$22</definedName>
    <definedName name="crestaZonesNamedRange">#REF!</definedName>
    <definedName name="eqAlaskaBiDeductibleNamedRange">#REF!</definedName>
    <definedName name="eqAlaskaBuildingDeductibleNamedRange">#REF!</definedName>
    <definedName name="eqAlaskaContentsDeductibleNamedRange">#REF!</definedName>
    <definedName name="eqAlaskaSiteDeductibleNamedRange">#REF!</definedName>
    <definedName name="eqCaliforniaBiDeductibleNamedRange">#REF!</definedName>
    <definedName name="eqCaliforniaBuildingDeductibleNamedRange">#REF!</definedName>
    <definedName name="eqCaliforniaContentsDeductibleNamedRange">#REF!</definedName>
    <definedName name="eqCaliforniaSiteDeductibleNamedRange">#REF!</definedName>
    <definedName name="eqCaliforniaZoneABiDeductibleNamedRange">#REF!</definedName>
    <definedName name="eqCaliforniaZoneABuildingDeductibleNamedRange">#REF!</definedName>
    <definedName name="eqCaliforniaZoneAContentsDeductibleNamedRange">#REF!</definedName>
    <definedName name="eqCaliforniaZoneASiteDeductibleNamedRange">#REF!</definedName>
    <definedName name="eqCaliforniaZoneBBiDeductibleNamedRange">#REF!</definedName>
    <definedName name="eqCaliforniaZoneBBuildingDeductibleNamedRange">#REF!</definedName>
    <definedName name="eqCaliforniaZoneBContentsDeductibleNamedRange">#REF!</definedName>
    <definedName name="eqCaliforniaZoneBSiteDeductibleNamedRange">#REF!</definedName>
    <definedName name="eqCaliforniaZoneCBiDeductibleNamedRange">#REF!</definedName>
    <definedName name="eqCaliforniaZoneCBuildingDeductibleNamedRange">#REF!</definedName>
    <definedName name="eqCaliforniaZoneCContentsDeductibleNamedRange">#REF!</definedName>
    <definedName name="eqCaliforniaZoneCSiteDeductibleNamedRange">#REF!</definedName>
    <definedName name="eqCaliforniaZoneDBiDeductibleNamedRange">#REF!</definedName>
    <definedName name="eqCaliforniaZoneDBuildingDeductibleNamedRange">#REF!</definedName>
    <definedName name="eqCaliforniaZoneDContentsDeductibleNamedRange">#REF!</definedName>
    <definedName name="eqCaliforniaZoneDSiteDeductibleNamedRange">#REF!</definedName>
    <definedName name="eqCaliforniaZoneEBiDeductibleNamedRange">#REF!</definedName>
    <definedName name="eqCaliforniaZoneEBuildingDeductibleNamedRange">#REF!</definedName>
    <definedName name="eqCaliforniaZoneEContentsDeductibleNamedRange">#REF!</definedName>
    <definedName name="eqCaliforniaZoneESiteDeductibleNamedRange">#REF!</definedName>
    <definedName name="eqCentralCanadaBiDeductibleNamedRange">#REF!</definedName>
    <definedName name="eqCentralCanadaBuildingDeductibleNamedRange">#REF!</definedName>
    <definedName name="eqCentralCanadaContentsDeductibleNamedRange">#REF!</definedName>
    <definedName name="eqCentralCanadaSiteDeductibleNamedRange">#REF!</definedName>
    <definedName name="eqDeductibles">#REF!</definedName>
    <definedName name="eqDeductiblesHeaderNamedRange">#REF!</definedName>
    <definedName name="eqDeductiblesSubheaderNamedRange">#REF!</definedName>
    <definedName name="eqEasternCanadaBiDeductibleNamedRange">#REF!</definedName>
    <definedName name="eqEasternCanadaBuildingDeductibleNamedRange">#REF!</definedName>
    <definedName name="eqEasternCanadaContentsDeductibleNamedRange">#REF!</definedName>
    <definedName name="eqEasternCanadaSiteDeductibleNamedRange">#REF!</definedName>
    <definedName name="eqGreatBasinBiDeductibleNamedRange">#REF!</definedName>
    <definedName name="eqGreatBasinBuildingDeductibleNamedRange">#REF!</definedName>
    <definedName name="eqGreatBasinContentsDeductibleNamedRange">#REF!</definedName>
    <definedName name="eqGreatBasinSiteDeductibleNamedRange">#REF!</definedName>
    <definedName name="eqHawaiiBiDeductibleNamedRange">#REF!</definedName>
    <definedName name="eqHawaiiBuildingDeductibleNamedRange">#REF!</definedName>
    <definedName name="eqHawaiiContentsDeductibleNamedRange">#REF!</definedName>
    <definedName name="eqHawaiiSiteDeductibleNamedRange">#REF!</definedName>
    <definedName name="eqMidWestBiDeductibleNamedRange">#REF!</definedName>
    <definedName name="eqMidWestBuildingDeductibleNamedRange">#REF!</definedName>
    <definedName name="eqMidWestContentsDeductibleNamedRange">#REF!</definedName>
    <definedName name="eqMidWestSiteDeductibleNamedRange">#REF!</definedName>
    <definedName name="eqNewMadridBiDeductibleNamedRange">#REF!</definedName>
    <definedName name="eqNewMadridBuildingDeductibleNamedRange">#REF!</definedName>
    <definedName name="eqNewMadridContentsDeductibleNamedRange">#REF!</definedName>
    <definedName name="eqNewMadridSiteDeductibleNamedRange">#REF!</definedName>
    <definedName name="eqNortheastBiDeductibleNamedRange">#REF!</definedName>
    <definedName name="eqNortheastBuildingDeductibleNamedRange">#REF!</definedName>
    <definedName name="eqNortheastContentsDeductibleNamedRange">#REF!</definedName>
    <definedName name="eqNortheastSiteDeductibleNamedRange">#REF!</definedName>
    <definedName name="eqNorthernCanadaBiDeductibleNamedRange">#REF!</definedName>
    <definedName name="eqNorthernCanadaBuildingDeductibleNamedRange">#REF!</definedName>
    <definedName name="eqNorthernCanadaContentsDeductibleNamedRange">#REF!</definedName>
    <definedName name="eqNorthernCanadaSiteDeductibleNamedRange">#REF!</definedName>
    <definedName name="eqNorthernRockiesBiDeductibleNamedRange">#REF!</definedName>
    <definedName name="eqNorthernRockiesBuildingDeductibleNamedRange">#REF!</definedName>
    <definedName name="eqNorthernRockiesContentsDeductibleNamedRange">#REF!</definedName>
    <definedName name="eqNorthernRockiesSiteDeductibleNamedRange">#REF!</definedName>
    <definedName name="eqPacificNorthwestBiDeductibleNamedRange">#REF!</definedName>
    <definedName name="eqPacificNorthwestBuildingDeductibleNamedRange">#REF!</definedName>
    <definedName name="eqPacificNorthwestContentsDeductibleNamedRange">#REF!</definedName>
    <definedName name="eqPacificNorthwestSiteDeductibleNamedRange">#REF!</definedName>
    <definedName name="eqRegionsNamedRange">#REF!</definedName>
    <definedName name="EqSecondaryModifiersHeaderNamedRange">#REF!</definedName>
    <definedName name="eqSingleBiDeductibleNamedRange">#REF!</definedName>
    <definedName name="eqSingleBuildingDeductibleNamedRange">#REF!</definedName>
    <definedName name="eqSingleContentsDeductibleNamedRange">#REF!</definedName>
    <definedName name="eqSingleSiteDeductibleNamedRange">#REF!</definedName>
    <definedName name="eqSoutheastBiDeductibleNamedRange">#REF!</definedName>
    <definedName name="eqSoutheastBuildingDeductibleNamedRange">#REF!</definedName>
    <definedName name="eqSoutheastContentsDeductibleNamedRange">#REF!</definedName>
    <definedName name="eqSoutheastSiteDeductibleNamedRange">#REF!</definedName>
    <definedName name="eqSouthernRockiesBiDeductibleNamedRange">#REF!</definedName>
    <definedName name="eqSouthernRockiesBuildingDeductibleNamedRange">#REF!</definedName>
    <definedName name="eqSouthernRockiesContentsDeductibleNamedRange">#REF!</definedName>
    <definedName name="eqSouthernRockiesSiteDeductibleNamedRange">#REF!</definedName>
    <definedName name="eqSpecialCaseBiDeductibleNamedRange">#REF!</definedName>
    <definedName name="eqSpecialCaseBuildingsDeductibleNamedRange">#REF!</definedName>
    <definedName name="eqSpecialCaseContentsDeductibleNamedRange">#REF!</definedName>
    <definedName name="eqSpecialCaseSiteDeductibleNamedRange">#REF!</definedName>
    <definedName name="eqUSASpecialCaseBiDeductibleNamedRange">#REF!</definedName>
    <definedName name="eqUSASpecialCaseBuildingDeductibleNamedRange">#REF!</definedName>
    <definedName name="eqUSASpecialCaseContentsDeductibleNamedRange">#REF!</definedName>
    <definedName name="eqUSASpecialCaseSiteDeductibleNamedRange">#REF!</definedName>
    <definedName name="eqWesternCanadaBiDeductibleNamedRange">#REF!</definedName>
    <definedName name="eqWesternCanadaBuildingDeductibleNamedRange">#REF!</definedName>
    <definedName name="eqWesternCanadaContentsDeductibleNamedRange">#REF!</definedName>
    <definedName name="eqWesternCanadaSiteDeductibleNamedRange">#REF!</definedName>
    <definedName name="EVENTINFO_WS">#REF!</definedName>
    <definedName name="FinancialsHeaderNamedRange">#REF!</definedName>
    <definedName name="FlSecondaryModifiersHeaderNamedRange">#REF!</definedName>
    <definedName name="FrSecondaryModifiersHeaderNamedRange">#REF!</definedName>
    <definedName name="GR_AAL_WS">#REF!</definedName>
    <definedName name="GR_COVAR_WS">#REF!</definedName>
    <definedName name="GR_STDDEV_WS">#REF!</definedName>
    <definedName name="GU_AAL_WS">#REF!</definedName>
    <definedName name="GU_COVAR_WS">#REF!</definedName>
    <definedName name="GU_STDDEV_WS">#REF!</definedName>
    <definedName name="HazardInformationHeaderNamedRange">#REF!</definedName>
    <definedName name="HiddenFieldsHeaderNamedRange">#REF!</definedName>
    <definedName name="huRegionsTexasToSpecialCaseNamedRange">#REF!</definedName>
    <definedName name="KEYLOSSESTABLE_WS">#REF!</definedName>
    <definedName name="lastUpdatedNamedRange">#REF!</definedName>
    <definedName name="LOCATIONDETAILS">#REF!</definedName>
    <definedName name="LOCATIONDETAILS_ADMINEXTN1GEOID">#REF!</definedName>
    <definedName name="LOCATIONDETAILS_ADMINEXTN2GEOID">#REF!</definedName>
    <definedName name="LOCATIONDETAILS_ANCHORING">#REF!</definedName>
    <definedName name="LOCATIONDETAILS_APZONE">#REF!</definedName>
    <definedName name="LOCATIONDETAILS_ARCHITECTURALELEMENTSTO">#REF!</definedName>
    <definedName name="LOCATIONDETAILS_ARCHITECTURALELEMENTSWS">#REF!</definedName>
    <definedName name="LOCATIONDETAILS_ATTICINSULATION">#REF!</definedName>
    <definedName name="LOCATIONDETAILS_BASEISOLATION">#REF!</definedName>
    <definedName name="LOCATIONDETAILS_BASEMENTTO">#REF!</definedName>
    <definedName name="LOCATIONDETAILS_BASEMENTWS">#REF!</definedName>
    <definedName name="LOCATIONDETAILS_BI">#REF!</definedName>
    <definedName name="LOCATIONDETAILS_BIPREPAREDNESS">#REF!</definedName>
    <definedName name="LOCATIONDETAILS_BIREDUNDANCY">#REF!</definedName>
    <definedName name="LOCATIONDETAILS_BIWATINGPERIOD">#REF!</definedName>
    <definedName name="LOCATIONDETAILS_BIZONEWS">#REF!</definedName>
    <definedName name="LOCATIONDETAILS_BLOCK">#REF!</definedName>
    <definedName name="LOCATIONDETAILS_BLOCKGROUP">#REF!</definedName>
    <definedName name="LOCATIONDETAILS_BUILDINGELEVATIONMATCHWS">#REF!</definedName>
    <definedName name="LOCATIONDETAILS_BUILDINGELEVATIONWS">#REF!</definedName>
    <definedName name="LOCATIONDETAILS_BUILDINGS">#REF!</definedName>
    <definedName name="LOCATIONDETAILS_CITY">#REF!</definedName>
    <definedName name="LOCATIONDETAILS_CLADDINGTYPEEQ">#REF!</definedName>
    <definedName name="LOCATIONDETAILS_CLADDINGTYPETO">#REF!</definedName>
    <definedName name="LOCATIONDETAILS_CLADDINGTYPEWS">#REF!</definedName>
    <definedName name="LOCATIONDETAILS_COMPLETIONDATE">#REF!</definedName>
    <definedName name="LOCATIONDETAILS_CONSTRUCTIONCLASS">#REF!</definedName>
    <definedName name="LOCATIONDETAILS_CONSTRUCTIONDESCRIPTION">#REF!</definedName>
    <definedName name="LOCATIONDETAILS_CONSTRUCTIONQUALITYEQ">#REF!</definedName>
    <definedName name="LOCATIONDETAILS_CONSTRUCTIONQUALITYTO">#REF!</definedName>
    <definedName name="LOCATIONDETAILS_CONSTRUCTIONQUALITYWS">#REF!</definedName>
    <definedName name="LOCATIONDETAILS_CONSTRUCTIONSCHEME">#REF!</definedName>
    <definedName name="LOCATIONDETAILS_CONTENTGRADE">#REF!</definedName>
    <definedName name="LOCATIONDETAILS_CONTENTS">#REF!</definedName>
    <definedName name="LOCATIONDETAILS_CONTENTSVULNERABILITYDUETOWATERTO">#REF!</definedName>
    <definedName name="LOCATIONDETAILS_CONTENTSVULNERABILITYDUETOWINDTO">#REF!</definedName>
    <definedName name="LOCATIONDETAILS_COUNTRY">#REF!</definedName>
    <definedName name="LOCATIONDETAILS_COUNTRYGEOID">#REF!</definedName>
    <definedName name="LOCATIONDETAILS_COUNTY">#REF!</definedName>
    <definedName name="LOCATIONDETAILS_COUNTYCODE">#REF!</definedName>
    <definedName name="LOCATIONDETAILS_CRIPPLEWALLS">#REF!</definedName>
    <definedName name="LOCATIONDETAILS_DISTANCETOCLOSESTMINE">#REF!</definedName>
    <definedName name="LOCATIONDETAILS_DISTANCETOCLOSESTSINKHOLE">#REF!</definedName>
    <definedName name="LOCATIONDETAILS_DISTANCETOCOAST">#REF!</definedName>
    <definedName name="LOCATIONDETAILS_DISTANCETOFAULT">#REF!</definedName>
    <definedName name="LOCATIONDETAILS_DOWNTOWNBUSINESSDISTRICT">#REF!</definedName>
    <definedName name="LOCATIONDETAILS_ELEVATION">#REF!</definedName>
    <definedName name="LOCATIONDETAILS_ENGINEEREDFOUNDATION">#REF!</definedName>
    <definedName name="LOCATIONDETAILS_EQ">#REF!</definedName>
    <definedName name="LOCATIONDETAILS_EQ_CA">#REF!</definedName>
    <definedName name="LOCATIONDETAILS_EQ_GR_AAL">#REF!</definedName>
    <definedName name="LOCATIONDETAILS_EQ_GU_AAL">#REF!</definedName>
    <definedName name="LOCATIONDETAILS_EQ_US">#REF!</definedName>
    <definedName name="LOCATIONDETAILS_EQBIDEDUCTIBLE">#REF!</definedName>
    <definedName name="LOCATIONDETAILS_EQBUILDINGDEDUCTIBLE">#REF!</definedName>
    <definedName name="LOCATIONDETAILS_EQCONTENTSDEDUCTIBLE">#REF!</definedName>
    <definedName name="LOCATIONDETAILS_EQSITEDEDUCTIBLE">#REF!</definedName>
    <definedName name="LOCATIONDETAILS_EQSLCOVERAGE">#REF!</definedName>
    <definedName name="LOCATIONDETAILS_EQSLSUSCEPTIBILITY">#REF!</definedName>
    <definedName name="LOCATIONDETAILS_EQSPECIALCASE">#REF!</definedName>
    <definedName name="LOCATIONDETAILS_EQUIPMENTBRACINGEQ">#REF!</definedName>
    <definedName name="LOCATIONDETAILS_EQUIPMENTSUPPORTMAINTENANCEEQ">#REF!</definedName>
    <definedName name="LOCATIONDETAILS_EXTERNALORNAMENTATIONTO">#REF!</definedName>
    <definedName name="LOCATIONDETAILS_EXTERNALORNAMENTATIONWS">#REF!</definedName>
    <definedName name="LOCATIONDETAILS_FINISHEDFLOORELEVATION">#REF!</definedName>
    <definedName name="LOCATIONDETAILS_FIREDEPTRATING">#REF!</definedName>
    <definedName name="LOCATIONDETAILS_FIREDEPTRATINGMODIFIER">#REF!</definedName>
    <definedName name="LOCATIONDETAILS_FL">#REF!</definedName>
    <definedName name="LOCATIONDETAILS_FLASHINGANDCOPINGQUALITYWS">#REF!</definedName>
    <definedName name="LOCATIONDETAILS_FLBIDEDUCTIBLE">#REF!</definedName>
    <definedName name="LOCATIONDETAILS_FLBUILDINGDEDUCTIBLE">#REF!</definedName>
    <definedName name="LOCATIONDETAILS_FLCONTENTSDEDUCTIBLE">#REF!</definedName>
    <definedName name="LOCATIONDETAILS_FLOODDEFENSEELEVATION">#REF!</definedName>
    <definedName name="LOCATIONDETAILS_FLOODDEFENSEELEVATIONUNIT">#REF!</definedName>
    <definedName name="LOCATIONDETAILS_FLOODZONE">#REF!</definedName>
    <definedName name="LOCATIONDETAILS_FLOORAREA">#REF!</definedName>
    <definedName name="LOCATIONDETAILS_FLSITEDEDUCTIBLE">#REF!</definedName>
    <definedName name="LOCATIONDETAILS_FLSPECIALCASE">#REF!</definedName>
    <definedName name="LOCATIONDETAILS_FOUNDATIONSYSTEMTO">#REF!</definedName>
    <definedName name="LOCATIONDETAILS_FOUNDATIONSYSTEMWS">#REF!</definedName>
    <definedName name="LOCATIONDETAILS_FR">#REF!</definedName>
    <definedName name="LOCATIONDETAILS_FRAMEBOLTED">#REF!</definedName>
    <definedName name="LOCATIONDETAILS_FRBIDEDUCTIBLE">#REF!</definedName>
    <definedName name="LOCATIONDETAILS_FRBUILDINGDEDUCTIBLE">#REF!</definedName>
    <definedName name="LOCATIONDETAILS_FRCONTENTSDEDUCTIBLE">#REF!</definedName>
    <definedName name="LOCATIONDETAILS_FRSITEDEDUCTIBLE">#REF!</definedName>
    <definedName name="LOCATIONDETAILS_GEOACCURACYBUFFER">#REF!</definedName>
    <definedName name="LOCATIONDETAILS_GEOCODEMATCHLEVEL">#REF!</definedName>
    <definedName name="LOCATIONDETAILS_GEOCODERESPONSESTATUS">#REF!</definedName>
    <definedName name="LOCATIONDETAILS_GEODATASOURCE">#REF!</definedName>
    <definedName name="LOCATIONDETAILS_GEODATASOURCEVERSIONID">#REF!</definedName>
    <definedName name="LOCATIONDETAILS_GEOLOCCODE">#REF!</definedName>
    <definedName name="LOCATIONDETAILS_GEOMATCHCODE">#REF!</definedName>
    <definedName name="LOCATIONDETAILS_GEOPRODUCTVERSION">#REF!</definedName>
    <definedName name="LOCATIONDETAILS_GEORESOLUTIONCONFIDENCE">#REF!</definedName>
    <definedName name="LOCATIONDETAILS_ICEDAMPROTECTION">#REF!</definedName>
    <definedName name="LOCATIONDETAILS_IFMOUTDOORMACHINERYEQUIPMENTBRACINGWS">#REF!</definedName>
    <definedName name="LOCATIONDETAILS_IFMSITEHAZARDWS">#REF!</definedName>
    <definedName name="LOCATIONDETAILS_IFMSTRUCTURECONDITIONWS">#REF!</definedName>
    <definedName name="LOCATIONDETAILS_IFMVERTICALEXPOSUREDISTRIBUTIONWS">#REF!</definedName>
    <definedName name="LOCATIONDETAILS_LANDSLIDE">#REF!</definedName>
    <definedName name="LOCATIONDETAILS_LATITUDE">#REF!</definedName>
    <definedName name="LOCATIONDETAILS_LIQUEFACTION">#REF!</definedName>
    <definedName name="LOCATIONDETAILS_LOCATIONCODE">#REF!</definedName>
    <definedName name="LOCATIONDETAILS_LONGITUDE">#REF!</definedName>
    <definedName name="LOCATIONDETAILS_MECHELECEQUIPMENTGROUNDLEVELTO">#REF!</definedName>
    <definedName name="LOCATIONDETAILS_MECHELECEQUIPMENTGROUNDLEVELWS">#REF!</definedName>
    <definedName name="LOCATIONDETAILS_MECHELECEQUIPMENTROOFTO">#REF!</definedName>
    <definedName name="LOCATIONDETAILS_MECHELECEQUIPMENTROOFWS">#REF!</definedName>
    <definedName name="LOCATIONDETAILS_MECHELECEQUIPMENTSIDEOFBUILDINGTO">#REF!</definedName>
    <definedName name="LOCATIONDETAILS_MFDSUBCATEGORY">#REF!</definedName>
    <definedName name="LOCATIONDETAILS_MMI250">#REF!</definedName>
    <definedName name="LOCATIONDETAILS_MSBVALUATION">#REF!</definedName>
    <definedName name="LOCATIONDETAILS_NAME">#REF!</definedName>
    <definedName name="LOCATIONDETAILS_NFIPRATEWS">#REF!</definedName>
    <definedName name="LOCATIONDETAILS_NFIPYEARMATCHWS">#REF!</definedName>
    <definedName name="LOCATIONDETAILS_NFIPYEARWS">#REF!</definedName>
    <definedName name="LOCATIONDETAILS_NUMBER">#REF!</definedName>
    <definedName name="LOCATIONDETAILS_NUMBEROFBUILDINGS">#REF!</definedName>
    <definedName name="LOCATIONDETAILS_NUMBEROFSTORIES">#REF!</definedName>
    <definedName name="LOCATIONDETAILS_OCCUPANCYDESCRIPTION">#REF!</definedName>
    <definedName name="LOCATIONDETAILS_OCCUPANCYSCHEME">#REF!</definedName>
    <definedName name="LOCATIONDETAILS_OCCUPANCYTYPE">#REF!</definedName>
    <definedName name="LOCATIONDETAILS_ORNAMENTATION">#REF!</definedName>
    <definedName name="LOCATIONDETAILS_OTHERFLOODZONES">#REF!</definedName>
    <definedName name="LOCATIONDETAILS_PERCENTCOMPLETE">#REF!</definedName>
    <definedName name="LOCATIONDETAILS_PLANIRREGULARITYEQ">#REF!</definedName>
    <definedName name="LOCATIONDETAILS_PLUMBINGINSULATION">#REF!</definedName>
    <definedName name="LOCATIONDETAILS_PMLZONE">#REF!</definedName>
    <definedName name="LOCATIONDETAILS_POSTALCODE">#REF!</definedName>
    <definedName name="LOCATIONDETAILS_POSTCODEEXTNGEOID">#REF!</definedName>
    <definedName name="LOCATIONDETAILS_POUNDING">#REF!</definedName>
    <definedName name="LOCATIONDETAILS_REMOTEALARMMONITORING">#REF!</definedName>
    <definedName name="LOCATIONDETAILS_RENTALPROPERTYIDENTIFIER">#REF!</definedName>
    <definedName name="LOCATIONDETAILS_RESISTANCEDOORSTO">#REF!</definedName>
    <definedName name="LOCATIONDETAILS_RESISTANCEDOORSWS">#REF!</definedName>
    <definedName name="LOCATIONDETAILS_RMSBUILDINGELEVATIONMATCHWS">#REF!</definedName>
    <definedName name="LOCATIONDETAILS_RMSBUILDINGELEVATIONWS">#REF!</definedName>
    <definedName name="LOCATIONDETAILS_ROOFAGETO">#REF!</definedName>
    <definedName name="LOCATIONDETAILS_ROOFAGEWS">#REF!</definedName>
    <definedName name="LOCATIONDETAILS_ROOFANCHORTO">#REF!</definedName>
    <definedName name="LOCATIONDETAILS_ROOFANCHORWS">#REF!</definedName>
    <definedName name="LOCATIONDETAILS_ROOFCOVERINGTO">#REF!</definedName>
    <definedName name="LOCATIONDETAILS_ROOFCOVERINGWS">#REF!</definedName>
    <definedName name="LOCATIONDETAILS_ROOFFRAMINGTYPETO">#REF!</definedName>
    <definedName name="LOCATIONDETAILS_ROOFGEOMETRYTO">#REF!</definedName>
    <definedName name="LOCATIONDETAILS_ROOFGEOMETRYWS">#REF!</definedName>
    <definedName name="LOCATIONDETAILS_ROOFMAINTENANCETO">#REF!</definedName>
    <definedName name="LOCATIONDETAILS_ROOFPARAPETSTO">#REF!</definedName>
    <definedName name="LOCATIONDETAILS_ROOFSHEATHINGATTACHMENTTO">#REF!</definedName>
    <definedName name="LOCATIONDETAILS_ROOFSHEATHINGATTACHMENTWS">#REF!</definedName>
    <definedName name="LOCATIONDETAILS_ROOFVENTILATION">#REF!</definedName>
    <definedName name="LOCATIONDETAILS_SANBORNBUILDINGID">#REF!</definedName>
    <definedName name="LOCATIONDETAILS_SANBORNBUILDINGNAME">#REF!</definedName>
    <definedName name="LOCATIONDETAILS_SC">#REF!</definedName>
    <definedName name="LOCATIONDETAILS_SC_GR_AAL">#REF!</definedName>
    <definedName name="LOCATIONDETAILS_SC_GU_AAL">#REF!</definedName>
    <definedName name="LOCATIONDETAILS_SERVICEINTERRUPTIONCOVERAGE">#REF!</definedName>
    <definedName name="LOCATIONDETAILS_SHORTCOLUMN">#REF!</definedName>
    <definedName name="LOCATIONDETAILS_SILIMIT">#REF!</definedName>
    <definedName name="LOCATIONDETAILS_SINKHOLETOHAZARDZONE">#REF!</definedName>
    <definedName name="LOCATIONDETAILS_SITELIMIT">#REF!</definedName>
    <definedName name="LOCATIONDETAILS_SIWAITINGPERIOD">#REF!</definedName>
    <definedName name="LOCATIONDETAILS_SLOPE">#REF!</definedName>
    <definedName name="LOCATIONDETAILS_SNOWGUARDS">#REF!</definedName>
    <definedName name="LOCATIONDETAILS_SOFTSTORY">#REF!</definedName>
    <definedName name="LOCATIONDETAILS_SOILTYPE">#REF!</definedName>
    <definedName name="LOCATIONDETAILS_SPRINKLERSYSTEM">#REF!</definedName>
    <definedName name="LOCATIONDETAILS_SPRINKLERTYPE">#REF!</definedName>
    <definedName name="LOCATIONDETAILS_STARTDATE">#REF!</definedName>
    <definedName name="LOCATIONDETAILS_STATECODE">#REF!</definedName>
    <definedName name="LOCATIONDETAILS_STREETADDRESS">#REF!</definedName>
    <definedName name="LOCATIONDETAILS_STRUCTURALUPGRADE">#REF!</definedName>
    <definedName name="LOCATIONDETAILS_TO">#REF!</definedName>
    <definedName name="LOCATIONDETAILS_TOBIDEDUCTIBLE">#REF!</definedName>
    <definedName name="LOCATIONDETAILS_TOBUILDINGDEDUCTIBLE">#REF!</definedName>
    <definedName name="LOCATIONDETAILS_TOCONTENTSDEDUCTIBLE">#REF!</definedName>
    <definedName name="LOCATIONDETAILS_TOSITEDEDUCTIBLE">#REF!</definedName>
    <definedName name="LOCATIONDETAILS_TOSPECIALCASE">#REF!</definedName>
    <definedName name="LOCATIONDETAILS_TR">#REF!</definedName>
    <definedName name="LOCATIONDETAILS_TRBIDEDUCTIBLE">#REF!</definedName>
    <definedName name="LOCATIONDETAILS_TRBUILDINGDEDUCTIBLE">#REF!</definedName>
    <definedName name="LOCATIONDETAILS_TRCONTENTSDEDUCTIBLE">#REF!</definedName>
    <definedName name="LOCATIONDETAILS_TREEDENSITY">#REF!</definedName>
    <definedName name="LOCATIONDETAILS_TRSITEDEDUCTIBLE">#REF!</definedName>
    <definedName name="LOCATIONDETAILS_URMCHIMNEYPARTITION">#REF!</definedName>
    <definedName name="LOCATIONDETAILS_URMRETROFIT">#REF!</definedName>
    <definedName name="LOCATIONDETAILS_VALUATIONDIFFERENCEAMOUNT">#REF!</definedName>
    <definedName name="LOCATIONDETAILS_VALUATIONDIFFERENCEPERCENT">#REF!</definedName>
    <definedName name="LOCATIONDETAILS_VERTICALIRREGULARITYEQ">#REF!</definedName>
    <definedName name="LOCATIONDETAILS_WILDFIREACCESSIBILITY">#REF!</definedName>
    <definedName name="LOCATIONDETAILS_WILDFIREAREA">#REF!</definedName>
    <definedName name="LOCATIONDETAILS_WILDFIREFUELTYPE">#REF!</definedName>
    <definedName name="LOCATIONDETAILS_WILDFIREHAZARD">#REF!</definedName>
    <definedName name="LOCATIONDETAILS_WILDFIRESUSCEPTIBILITY">#REF!</definedName>
    <definedName name="LOCATIONDETAILS_WILDFIRETHREAT">#REF!</definedName>
    <definedName name="LOCATIONDETAILS_WINDMISSILESTO">#REF!</definedName>
    <definedName name="LOCATIONDETAILS_WINDRESISTANCEWINDOWSTO">#REF!</definedName>
    <definedName name="LOCATIONDETAILS_WS">#REF!</definedName>
    <definedName name="LOCATIONDETAILS_WS_GR_AAL">#REF!</definedName>
    <definedName name="LOCATIONDETAILS_WS_GU_AAL">#REF!</definedName>
    <definedName name="LOCATIONDETAILS_WSBIDEDUCTIBLE">#REF!</definedName>
    <definedName name="LOCATIONDETAILS_WSBUILDINGDEDUCTIBLE">#REF!</definedName>
    <definedName name="LOCATIONDETAILS_WSCONTENTSDEDUCTIBLE">#REF!</definedName>
    <definedName name="LOCATIONDETAILS_WSSITEDEDUCTIBLE">#REF!</definedName>
    <definedName name="LOCATIONDETAILS_WSSPECIALCASE">#REF!</definedName>
    <definedName name="LOCATIONDETAILS_WT">#REF!</definedName>
    <definedName name="LOCATIONDETAILS_WT_GR_AAL">#REF!</definedName>
    <definedName name="LOCATIONDETAILS_WT_GU_AAL">#REF!</definedName>
    <definedName name="LOCATIONDETAILS_YEARBUILT">#REF!</definedName>
    <definedName name="LOCATIONDETAILS_YEARUPGRADED">#REF!</definedName>
    <definedName name="LocationHeaderNamedRange">#REF!</definedName>
    <definedName name="LossSummaryHeaderNamedRange">#REF!</definedName>
    <definedName name="multipleEqDeductiblesNamedRange">#REF!</definedName>
    <definedName name="multipleHuDeductiblesNamedRange">#REF!</definedName>
    <definedName name="multipleToDeductiblesNamedRange">#REF!</definedName>
    <definedName name="nemes">#REF!</definedName>
    <definedName name="notesNamedRange">#REF!</definedName>
    <definedName name="PerilsHeaderNamedRange">#REF!</definedName>
    <definedName name="POLICYDETAILS">#REF!</definedName>
    <definedName name="POLICYDETAILS_ATTACHMENTPOINT">#REF!</definedName>
    <definedName name="POLICYDETAILS_BLANKETLIMIT">#REF!</definedName>
    <definedName name="POLICYDETAILS_BLANKETPREMIUM">#REF!</definedName>
    <definedName name="POLICYDETAILS_CURRENCY">#REF!</definedName>
    <definedName name="POLICYDETAILS_DEDUCTIBLE">#REF!</definedName>
    <definedName name="POLICYDETAILS_EQ">#REF!</definedName>
    <definedName name="POLICYDETAILS_EXPIREDATE">#REF!</definedName>
    <definedName name="POLICYDETAILS_FL">#REF!</definedName>
    <definedName name="POLICYDETAILS_FR">#REF!</definedName>
    <definedName name="POLICYDETAILS_INCEPTIONDATE">#REF!</definedName>
    <definedName name="POLICYDETAILS_LINEOFBUSINESS">#REF!</definedName>
    <definedName name="POLICYDETAILS_MAXDEDUCTIBLE">#REF!</definedName>
    <definedName name="POLICYDETAILS_MINDEDUCTIBLE">#REF!</definedName>
    <definedName name="POLICYDETAILS_PARTOF">#REF!</definedName>
    <definedName name="POLICYDETAILS_POLICYNUMBER">#REF!</definedName>
    <definedName name="POLICYDETAILS_STATUS">#REF!</definedName>
    <definedName name="POLICYDETAILS_STRUCTURE">#REF!</definedName>
    <definedName name="POLICYDETAILS_TO">#REF!</definedName>
    <definedName name="POLICYDETAILS_TR">#REF!</definedName>
    <definedName name="POLICYDETAILS_WS">#REF!</definedName>
    <definedName name="PolicyDetailsHeaderHeaderNamedRange">#REF!</definedName>
    <definedName name="SELECT_ALABAMA_TO">#REF!</definedName>
    <definedName name="SELECT_ALASKAEQ">#REF!</definedName>
    <definedName name="SELECT_ALL_OTHER">#REF!</definedName>
    <definedName name="SELECT_ALLOTHER_TO">#REF!</definedName>
    <definedName name="SELECT_CALIFORNIA">#REF!</definedName>
    <definedName name="SELECT_CALIFORNIA_ZONEA">#REF!</definedName>
    <definedName name="SELECT_CALIFORNIA_ZONEB">#REF!</definedName>
    <definedName name="SELECT_CALIFORNIA_ZONEC">#REF!</definedName>
    <definedName name="SELECT_CALIFORNIA_ZONED">#REF!</definedName>
    <definedName name="SELECT_CALIFORNIA_ZONEE">#REF!</definedName>
    <definedName name="SELECT_CENTRAL_CANADA">#REF!</definedName>
    <definedName name="SELECT_COLORADO_TO">#REF!</definedName>
    <definedName name="SELECT_EASTERN_CANADA">#REF!</definedName>
    <definedName name="SELECT_FLORIDA">#REF!</definedName>
    <definedName name="SELECT_FLORIDA_TIER1">#REF!</definedName>
    <definedName name="SELECT_FLORIDA_TIER2">#REF!</definedName>
    <definedName name="SELECT_FLORIDA_TO">#REF!</definedName>
    <definedName name="SELECT_GREAT_BASINEQ">#REF!</definedName>
    <definedName name="SELECT_GULF_STATES">#REF!</definedName>
    <definedName name="SELECT_HAWAII_STATES">#REF!</definedName>
    <definedName name="SELECT_HAWAIIEQ">#REF!</definedName>
    <definedName name="SELECT_ILLINOIS_TO">#REF!</definedName>
    <definedName name="SELECT_INDIANA_TO">#REF!</definedName>
    <definedName name="SELECT_IOWA_TO">#REF!</definedName>
    <definedName name="SELECT_KANSAS_TO">#REF!</definedName>
    <definedName name="SELECT_LOUISIANA_TO">#REF!</definedName>
    <definedName name="SELECT_MID_ATLANTIC">#REF!</definedName>
    <definedName name="SELECT_MID_WEST">#REF!</definedName>
    <definedName name="SELECT_MISSISSIPPI_TO">#REF!</definedName>
    <definedName name="SELECT_MISSOURI_TO">#REF!</definedName>
    <definedName name="SELECT_MONTANA_TO">#REF!</definedName>
    <definedName name="SELECT_MULTIPLE_EQ">#REF!</definedName>
    <definedName name="SELECT_MULTIPLE_HU">#REF!</definedName>
    <definedName name="SELECT_MULTIPLE_TO">#REF!</definedName>
    <definedName name="SELECT_NEBRASKA_TO">#REF!</definedName>
    <definedName name="SELECT_NEW_MADRID">#REF!</definedName>
    <definedName name="SELECT_NEW_MEXICO_TO">#REF!</definedName>
    <definedName name="SELECT_NORTHEAST">#REF!</definedName>
    <definedName name="SELECT_NORTHEAST_TO">#REF!</definedName>
    <definedName name="SELECT_NORTHEASTEQ">#REF!</definedName>
    <definedName name="SELECT_NORTHERN_CANADA">#REF!</definedName>
    <definedName name="SELECT_NORTHERN_ROCKIESEQ">#REF!</definedName>
    <definedName name="SELECT_OHIO_TO">#REF!</definedName>
    <definedName name="SELECT_OKLAHOMA_TO">#REF!</definedName>
    <definedName name="SELECT_PACIFIC_NORTHWEST">#REF!</definedName>
    <definedName name="SELECT_SINGLE_EQ">#REF!</definedName>
    <definedName name="SELECT_SINGLE_HU">#REF!</definedName>
    <definedName name="SELECT_SINGLE_TO">#REF!</definedName>
    <definedName name="SELECT_SOUTHEAST">#REF!</definedName>
    <definedName name="SELECT_SOUTHEAST_TO">#REF!</definedName>
    <definedName name="SELECT_SOUTHEASTEQ">#REF!</definedName>
    <definedName name="SELECT_SOUTHERN_ROCKIESEQ">#REF!</definedName>
    <definedName name="SELECT_SPECIAL_CASE">#REF!</definedName>
    <definedName name="SELECT_SPECIAL_CASE_EQ">#REF!</definedName>
    <definedName name="SELECT_SPECIAL_CASE_TO">#REF!</definedName>
    <definedName name="SELECT_TEXAS">#REF!</definedName>
    <definedName name="SELECT_TEXAS_TO">#REF!</definedName>
    <definedName name="SELECT_TIER1">#REF!</definedName>
    <definedName name="SELECT_TIER2">#REF!</definedName>
    <definedName name="SELECT_USA_SPECIAL_CASE_EQ">#REF!</definedName>
    <definedName name="SELECT_WESTERN_CANADA">#REF!</definedName>
    <definedName name="SELECT_WYOMING_TO">#REF!</definedName>
    <definedName name="singleEqDeductiblesNamedRange">#REF!</definedName>
    <definedName name="singleHuDeductiblesNamedRange">#REF!</definedName>
    <definedName name="singleToDeductibleNamedRange">#REF!</definedName>
    <definedName name="toAlabamaBiDeductibleNamedRange">#REF!</definedName>
    <definedName name="toAlabamaBuildingsDeductibleNamedRange">#REF!</definedName>
    <definedName name="toAlabamaContentsDeductibleNamedRange">#REF!</definedName>
    <definedName name="toAlabamaSiteDeductibleNamedRange">#REF!</definedName>
    <definedName name="toColoradoBiDeductibleNamedRange">#REF!</definedName>
    <definedName name="toColoradoBuildingsDeductibleNamedRange">#REF!</definedName>
    <definedName name="toColoradoContentsDeductibleNamedRange">#REF!</definedName>
    <definedName name="toColoradoSiteDeductibleNamedRange">#REF!</definedName>
    <definedName name="toDeductibles">#REF!</definedName>
    <definedName name="toFloridaBiDeductibleNamedRange">#REF!</definedName>
    <definedName name="toFloridaBuildingsDeductibleNamedRange">#REF!</definedName>
    <definedName name="toFloridaContentsDeductibleNamedRange">#REF!</definedName>
    <definedName name="toFloridaSiteDeductibleNamedRange">#REF!</definedName>
    <definedName name="toIllinoisBiDeductibleNamedRange">#REF!</definedName>
    <definedName name="toIllinoisBuildingsDeductibleNamedRange">#REF!</definedName>
    <definedName name="toIllinoisContentsDeductibleNamedRange">#REF!</definedName>
    <definedName name="toIllinoisSiteDeductibleNamedRange">#REF!</definedName>
    <definedName name="toIndianaBiDeductibleNamedRange">#REF!</definedName>
    <definedName name="toIndianaBuildingsDeductibleNamedRange">#REF!</definedName>
    <definedName name="toIndianaContentsDeductibleNamedRange">#REF!</definedName>
    <definedName name="toIndianaSiteDeductibleNamedRange">#REF!</definedName>
    <definedName name="toIowaBiDeductibleNamedRange">#REF!</definedName>
    <definedName name="toIowaBuildingsDeductibleNamedRange">#REF!</definedName>
    <definedName name="toIowaContentsDeductibleNamedRange">#REF!</definedName>
    <definedName name="toIowaSiteDeductibleNamedRange">#REF!</definedName>
    <definedName name="toKansasBiDeductibleNamedRange">#REF!</definedName>
    <definedName name="toKansasBuildingsDeductibleNamedRange">#REF!</definedName>
    <definedName name="toKansasContentsDeductibleNamedRange">#REF!</definedName>
    <definedName name="toKansasSiteDeductibleNamedRange">#REF!</definedName>
    <definedName name="toLouisianaBiDeductibleNamedRange">#REF!</definedName>
    <definedName name="toLouisianaBuildingsDeductibleNamedRange">#REF!</definedName>
    <definedName name="toLouisianaContentsDeductibleNamedRange">#REF!</definedName>
    <definedName name="toLouisianaSiteDeductibleNamedRange">#REF!</definedName>
    <definedName name="toMississippiBiDeductibleNamedRange">#REF!</definedName>
    <definedName name="toMississippiBuildingsDeductibleNamedRange">#REF!</definedName>
    <definedName name="toMississippiContentsDeductibleNamedRange">#REF!</definedName>
    <definedName name="toMississippiSiteDeductibleNamedRange">#REF!</definedName>
    <definedName name="toMissouriBiDeductibleNamedRange">#REF!</definedName>
    <definedName name="toMissouriBuildingsDeductibleNamedRange">#REF!</definedName>
    <definedName name="toMissouriContentsDeductibleNamedRange">#REF!</definedName>
    <definedName name="toMissouriSiteDeductibleNamedRange">#REF!</definedName>
    <definedName name="toMontanaBiDeductibleNamedRange">#REF!</definedName>
    <definedName name="toMontanaBuildingsDeductibleNamedRange">#REF!</definedName>
    <definedName name="toMontanaContentsDeductibleNamedRange">#REF!</definedName>
    <definedName name="toMontanaSiteDeductibleNamedRange">#REF!</definedName>
    <definedName name="toNebraskaBiDeductibleNamedRange">#REF!</definedName>
    <definedName name="toNebraskaBuildingsDeductibleNamedRange">#REF!</definedName>
    <definedName name="toNebraskaContentsDeductibleNamedRange">#REF!</definedName>
    <definedName name="toNebraskaSiteDeductibleNamedRange">#REF!</definedName>
    <definedName name="toNewMexicoBiDeductibleNamedRange">#REF!</definedName>
    <definedName name="toNewMexicoBuildingsDeductibleNamedRange">#REF!</definedName>
    <definedName name="toNewMexicoContentsDeductibleNamedRange">#REF!</definedName>
    <definedName name="toNewMexicoSiteDeductibleNamedRange">#REF!</definedName>
    <definedName name="toNortheastStatesBiDeductibleNamedRange">#REF!</definedName>
    <definedName name="toNortheastStatesBuildingsDeductibleNamedRange">#REF!</definedName>
    <definedName name="toNortheastStatesContentsDeductibleNamedRange">#REF!</definedName>
    <definedName name="toNortheastStatesSiteDeductibleNamedRange">#REF!</definedName>
    <definedName name="toOhioBiDeductibleNamedRange">#REF!</definedName>
    <definedName name="toOhioBuildingsDeductibleNamedRange">#REF!</definedName>
    <definedName name="toOhioContentsDeductibleNamedRange">#REF!</definedName>
    <definedName name="toOhioSiteDeductibleNamedRange">#REF!</definedName>
    <definedName name="toOklahomaBiDeductibleNamedRange">#REF!</definedName>
    <definedName name="toOklahomaBuildingsDeductibleNamedRange">#REF!</definedName>
    <definedName name="toOklahomaContentsDeductibleNamedRange">#REF!</definedName>
    <definedName name="toOklahomaSiteDeductibleNamedRange">#REF!</definedName>
    <definedName name="toOtherStatesBiDeductibleNamedRange">#REF!</definedName>
    <definedName name="toOtherStatesBuildingsDeductibleNamedRange">#REF!</definedName>
    <definedName name="toOtherStatesContentsDeductibleNamedRange">#REF!</definedName>
    <definedName name="toOtherStatesSiteDeductibleNamedRange">#REF!</definedName>
    <definedName name="toRegionsNamedRange">#REF!</definedName>
    <definedName name="tornadoDeductiblesHeaderNamedRange">#REF!</definedName>
    <definedName name="tornadoDeductiblesSubheaderNamedRange">#REF!</definedName>
    <definedName name="ToSecondaryModifiersHeaderNamedRange">#REF!</definedName>
    <definedName name="toSingleBiDeductibleNamedRange">#REF!</definedName>
    <definedName name="toSingleBuildingsDeductibleNamedRange">#REF!</definedName>
    <definedName name="toSingleContentsDeductibleNamedRange">#REF!</definedName>
    <definedName name="toSingleSiteDeductibleNamedRange">#REF!</definedName>
    <definedName name="toSoutheastStatesBiDeductibleNamedRange">#REF!</definedName>
    <definedName name="toSoutheastStatesBuildingsDeductibleNamedRange">#REF!</definedName>
    <definedName name="toSoutheastStatesContentsDeductibleNamedRange">#REF!</definedName>
    <definedName name="toSoutheastStatesSiteDeductibleNamedRange">#REF!</definedName>
    <definedName name="toSpecialCaseBiDeductibleNamedRange">#REF!</definedName>
    <definedName name="toSpecialCaseBuildingsDeductibleNamedRange">#REF!</definedName>
    <definedName name="toSpecialCaseContentsDeductibleNamedRange">#REF!</definedName>
    <definedName name="toSpecialCaseSiteDeductibleNamedRange">#REF!</definedName>
    <definedName name="toTexasBiDeductibleNamedRange">#REF!</definedName>
    <definedName name="toTexasBuildingsDeductibleNamedRange">#REF!</definedName>
    <definedName name="toTexasContentsDeductibleNamedRange">#REF!</definedName>
    <definedName name="toTexasSiteDeductibleNamedRange">#REF!</definedName>
    <definedName name="toWyomingBiDeductibleNamedRange">#REF!</definedName>
    <definedName name="toWyomingBuildingsDeductibleNamedRange">#REF!</definedName>
    <definedName name="toWyomingContentsDeductibleNamedRange">#REF!</definedName>
    <definedName name="toWyomingSiteDeductibleNamedRange">#REF!</definedName>
    <definedName name="UNITED_STATES">[1]Data!$A$15:$A$65</definedName>
    <definedName name="usernameNamedRange">#REF!</definedName>
    <definedName name="ValuesHeaderNamedRange">#REF!</definedName>
    <definedName name="wsAllOthersBiDeductibleNamedRange">#REF!</definedName>
    <definedName name="wsAllOthersBuildingDeductibleNamedRange">#REF!</definedName>
    <definedName name="wsAllOthersContentsDeductibleNamedRange">#REF!</definedName>
    <definedName name="wsAllOthersSiteDeductibleNamedRange">#REF!</definedName>
    <definedName name="wsDeductibles">#REF!</definedName>
    <definedName name="wsDeductiblesHeaderNamedRange">#REF!</definedName>
    <definedName name="wsDeductiblesSubheaderNamedRange">#REF!</definedName>
    <definedName name="wsFloridaBiDeductibleNamedRange">#REF!</definedName>
    <definedName name="wsFloridaBuildingDeductibleNamedRange">#REF!</definedName>
    <definedName name="wsFloridaContentsDeductibleNamedRange">#REF!</definedName>
    <definedName name="wsFloridaSiteDeductibleNamedRange">#REF!</definedName>
    <definedName name="wsFloridaTier1BiDeductibleNamedRange">#REF!</definedName>
    <definedName name="wsFloridaTier1BuildingDeductibleNamedRange">#REF!</definedName>
    <definedName name="wsFloridaTier1ContentsDeductibleNamedRange">#REF!</definedName>
    <definedName name="wsFloridaTier1SiteDeductibleNamedRange">#REF!</definedName>
    <definedName name="wsFloridaTier2BiDeductibleNamedRange">#REF!</definedName>
    <definedName name="wsFloridaTier2BuildingDeductibleNamedRange">#REF!</definedName>
    <definedName name="wsFloridaTier2ContentsDeductibleNamedRange">#REF!</definedName>
    <definedName name="wsFloridaTier2SiteDeductibleNamedRange">#REF!</definedName>
    <definedName name="wsGulfStatesBiDeductibleNamedRange">#REF!</definedName>
    <definedName name="wsGulfStatesBuildingDeductibleNamedRange">#REF!</definedName>
    <definedName name="wsGulfStatesContentsDeductibleNamedRange">#REF!</definedName>
    <definedName name="wsGulfStatesSiteDeductibleNamedRange">#REF!</definedName>
    <definedName name="wsHawaiiStatesBiDeductibleNamedRange">#REF!</definedName>
    <definedName name="wsHawaiiStatesBuildingDeductibleNamedRange">#REF!</definedName>
    <definedName name="wsHawaiiStatesContentsDeductibleNamedRange">#REF!</definedName>
    <definedName name="wsHawaiiStatesSiteDeductibleNamedRange">#REF!</definedName>
    <definedName name="wsMidAtlanticBiDeductibleNamedRange">#REF!</definedName>
    <definedName name="wsMidAtlanticBuildingDeductibleNamedRange">#REF!</definedName>
    <definedName name="wsMidAtlanticContentsDeductibleNamedRange">#REF!</definedName>
    <definedName name="wsMidAtlanticSiteDeductibleNamedRange">#REF!</definedName>
    <definedName name="wsNortheastBiDeductibleNamedRange">#REF!</definedName>
    <definedName name="wsNortheastBuildingDeductibleNamedRange">#REF!</definedName>
    <definedName name="wsNortheastContentsDeductibleNamedRange">#REF!</definedName>
    <definedName name="wsNortheastSiteDeductibleNamedRange">#REF!</definedName>
    <definedName name="WsSecondaryModifiersHeaderNamedRange">#REF!</definedName>
    <definedName name="wsSingleBiDeductibleNamedRange">#REF!</definedName>
    <definedName name="wsSingleBuildingDeductibleNamedRange">#REF!</definedName>
    <definedName name="wsSingleContentsDeductibleNamedRange">#REF!</definedName>
    <definedName name="wsSingleSiteDeductibleNamedRange">#REF!</definedName>
    <definedName name="wsSoutheastBiDeductibleNamedRange">#REF!</definedName>
    <definedName name="wsSoutheastBuildingDeductibleNamedRange">#REF!</definedName>
    <definedName name="wsSoutheastContentsDeductibleNamedRange">#REF!</definedName>
    <definedName name="wsSoutheastSiteDeductibleNamedRange">#REF!</definedName>
    <definedName name="wsSpecialCaseBiDeductibleNamedRange">#REF!</definedName>
    <definedName name="wsSpecialCaseBuildingDeductibleNamedRange">#REF!</definedName>
    <definedName name="wsSpecialCaseContentsDeductibleNamedRange">#REF!</definedName>
    <definedName name="wsSpecialCaseSiteDeductibleNamedRange">#REF!</definedName>
    <definedName name="wsTexasBiDeductibleNamedRange">#REF!</definedName>
    <definedName name="wsTexasBuildingDeductibleNamedRange">#REF!</definedName>
    <definedName name="wsTexasContentsDeductibleNamedRange">#REF!</definedName>
    <definedName name="wsTexasSiteDeductibleNamedRange">#REF!</definedName>
    <definedName name="wsTier1BiDeductibleNamedRange">#REF!</definedName>
    <definedName name="wsTier1BuildingDeductibleNamedRange">#REF!</definedName>
    <definedName name="wsTier1ContentsDeductibleNamedRange">#REF!</definedName>
    <definedName name="wsTier1SiteDeductibleNamedRange">#REF!</definedName>
    <definedName name="wsTier2BiDeductibleNamedRange">#REF!</definedName>
    <definedName name="wsTier2BuildingDeductibleNamedRange">#REF!</definedName>
    <definedName name="wsTier2ContentsDeductibleNamedRange">#REF!</definedName>
    <definedName name="wsTier2SiteDeductibleNamedRan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28" i="27" l="1"/>
  <c r="T128" i="27"/>
  <c r="S128" i="27"/>
  <c r="V127" i="27"/>
  <c r="V126" i="27"/>
  <c r="V125" i="27"/>
  <c r="V124" i="27"/>
  <c r="V123" i="27"/>
  <c r="V122" i="27"/>
  <c r="V121" i="27"/>
  <c r="V120" i="27"/>
  <c r="V119" i="27"/>
  <c r="V118" i="27"/>
  <c r="V117" i="27"/>
  <c r="V116" i="27"/>
  <c r="V115" i="27"/>
  <c r="V114" i="27"/>
  <c r="V113" i="27"/>
  <c r="V112" i="27"/>
  <c r="V111" i="27"/>
  <c r="V110" i="27"/>
  <c r="V109" i="27"/>
  <c r="V108" i="27"/>
  <c r="V107" i="27"/>
  <c r="V106" i="27"/>
  <c r="V105" i="27"/>
  <c r="V104" i="27"/>
  <c r="V103" i="27"/>
  <c r="V102" i="27"/>
  <c r="V101" i="27"/>
  <c r="V100" i="27"/>
  <c r="V99" i="27"/>
  <c r="V98" i="27"/>
  <c r="V97" i="27"/>
  <c r="V96" i="27"/>
  <c r="V95" i="27"/>
  <c r="V94" i="27"/>
  <c r="V93" i="27"/>
  <c r="V92" i="27"/>
  <c r="V91" i="27"/>
  <c r="V90" i="27"/>
  <c r="V89" i="27"/>
  <c r="V88" i="27"/>
  <c r="V87" i="27"/>
  <c r="V86" i="27"/>
  <c r="V85" i="27"/>
  <c r="V84" i="27"/>
  <c r="V83" i="27"/>
  <c r="V82" i="27"/>
  <c r="V81" i="27"/>
  <c r="V80" i="27"/>
  <c r="V79" i="27"/>
  <c r="V78" i="27"/>
  <c r="V77" i="27"/>
  <c r="V76" i="27"/>
  <c r="V75" i="27"/>
  <c r="V74" i="27"/>
  <c r="V73" i="27"/>
  <c r="V72" i="27"/>
  <c r="V71" i="27"/>
  <c r="V70" i="27"/>
  <c r="V69" i="27"/>
  <c r="V68" i="27"/>
  <c r="V67" i="27"/>
  <c r="V66" i="27"/>
  <c r="V65" i="27"/>
  <c r="V64" i="27"/>
  <c r="V63" i="27"/>
  <c r="V62" i="27"/>
  <c r="V61" i="27"/>
  <c r="V60" i="27"/>
  <c r="V59" i="27"/>
  <c r="V58" i="27"/>
  <c r="V57" i="27"/>
  <c r="V56" i="27"/>
  <c r="V55" i="27"/>
  <c r="V54" i="27"/>
  <c r="V53" i="27"/>
  <c r="V52" i="27"/>
  <c r="V51" i="27"/>
  <c r="V50" i="27"/>
  <c r="V49" i="27"/>
  <c r="V48" i="27"/>
  <c r="V47" i="27"/>
  <c r="V46" i="27"/>
  <c r="V45" i="27"/>
  <c r="V44" i="27"/>
  <c r="V43" i="27"/>
  <c r="V42" i="27"/>
  <c r="V41" i="27"/>
  <c r="V40" i="27"/>
  <c r="V39" i="27"/>
  <c r="V38" i="27"/>
  <c r="V37" i="27"/>
  <c r="V36" i="27"/>
  <c r="V35" i="27"/>
  <c r="V34" i="27"/>
  <c r="V33" i="27"/>
  <c r="V32" i="27"/>
  <c r="V31" i="27"/>
  <c r="V30" i="27"/>
  <c r="V29" i="27"/>
  <c r="V28" i="27"/>
  <c r="V27" i="27"/>
  <c r="V26" i="27"/>
  <c r="V25" i="27"/>
  <c r="V24" i="27"/>
  <c r="V23" i="27"/>
  <c r="V22" i="27"/>
  <c r="V21" i="27"/>
  <c r="V20" i="27"/>
  <c r="V128" i="27" s="1"/>
  <c r="V19" i="27"/>
  <c r="V18" i="27"/>
  <c r="V17" i="27"/>
  <c r="V16" i="27"/>
  <c r="V15" i="27"/>
  <c r="V14" i="27"/>
  <c r="V13" i="27"/>
  <c r="V12" i="27"/>
  <c r="V11" i="27"/>
  <c r="V10" i="27"/>
  <c r="V9" i="27"/>
  <c r="V8" i="27"/>
  <c r="V7" i="27"/>
  <c r="V6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Jay Raupp</author>
  </authors>
  <commentList>
    <comment ref="AT5" authorId="0" shapeId="0" xr:uid="{05C0C759-8F5E-44B5-B80D-7A0BBB0C12A8}">
      <text>
        <r>
          <rPr>
            <u/>
            <sz val="9"/>
            <color indexed="81"/>
            <rFont val="Tahoma"/>
            <family val="2"/>
          </rPr>
          <t xml:space="preserve">Year Built input format:  </t>
        </r>
        <r>
          <rPr>
            <sz val="9"/>
            <color indexed="81"/>
            <rFont val="Tahoma"/>
            <family val="2"/>
          </rPr>
          <t xml:space="preserve">
4-digit number required (yyyy). 
Must be between 1753 and 9999.</t>
        </r>
      </text>
    </comment>
    <comment ref="AU5" authorId="0" shapeId="0" xr:uid="{10134E7F-F1A2-4C15-9BD1-EC6CC3E38AA8}">
      <text>
        <r>
          <rPr>
            <u/>
            <sz val="9"/>
            <color indexed="81"/>
            <rFont val="Tahoma"/>
            <family val="2"/>
          </rPr>
          <t xml:space="preserve">Year Upgraded input format:  </t>
        </r>
        <r>
          <rPr>
            <sz val="9"/>
            <color indexed="81"/>
            <rFont val="Tahoma"/>
            <family val="2"/>
          </rPr>
          <t xml:space="preserve">
4-digit number required (yyyy). 
Must be between 1753 and 9999.</t>
        </r>
      </text>
    </comment>
    <comment ref="AV5" authorId="0" shapeId="0" xr:uid="{167F3D4B-F011-4C3D-BBF9-5D489BDFBCA9}">
      <text>
        <r>
          <rPr>
            <u/>
            <sz val="9"/>
            <color indexed="81"/>
            <rFont val="Tahoma"/>
            <family val="2"/>
          </rPr>
          <t xml:space="preserve">Start Date input format: </t>
        </r>
        <r>
          <rPr>
            <sz val="9"/>
            <color indexed="81"/>
            <rFont val="Tahoma"/>
            <family val="2"/>
          </rPr>
          <t xml:space="preserve">
mm/dd/yyyy. 
Must be between 01/01/1753 and 12/31/9999.</t>
        </r>
      </text>
    </comment>
    <comment ref="AW5" authorId="0" shapeId="0" xr:uid="{949AED7F-F84B-48D2-8046-F57AC7569A86}">
      <text>
        <r>
          <rPr>
            <u/>
            <sz val="9"/>
            <color indexed="81"/>
            <rFont val="Tahoma"/>
            <family val="2"/>
          </rPr>
          <t xml:space="preserve">Completion Date input format: </t>
        </r>
        <r>
          <rPr>
            <sz val="9"/>
            <color indexed="81"/>
            <rFont val="Tahoma"/>
            <family val="2"/>
          </rPr>
          <t xml:space="preserve">
mm/dd/yyyy. 
Must be between 01/01/1753 and 
12/31/9999.</t>
        </r>
      </text>
    </comment>
  </commentList>
</comments>
</file>

<file path=xl/sharedStrings.xml><?xml version="1.0" encoding="utf-8"?>
<sst xmlns="http://schemas.openxmlformats.org/spreadsheetml/2006/main" count="2030" uniqueCount="354">
  <si>
    <t>TIV</t>
  </si>
  <si>
    <t>FL</t>
  </si>
  <si>
    <t>SC</t>
  </si>
  <si>
    <t>Account Name:</t>
  </si>
  <si>
    <t>Effective Date:</t>
  </si>
  <si>
    <t>ABC Company</t>
  </si>
  <si>
    <t>ADDRESS INFORMATION</t>
  </si>
  <si>
    <t>VALUES</t>
  </si>
  <si>
    <t>FINANCIALS</t>
  </si>
  <si>
    <t>BUILDING ATTRIBUTES (COPE) - REQUIRED</t>
  </si>
  <si>
    <t>WINDSTORM SECONDARY MODIFIERS (FOR TIER ONE AND TWO LOCS ONLY)</t>
  </si>
  <si>
    <t>EQ SECONDARY MODIFIERS (HIGH HAZARD EQ LOCS ONLY)</t>
  </si>
  <si>
    <t>BI SECONDARY MODIFIERS</t>
  </si>
  <si>
    <t>TO SECONDARY MODIFIERS</t>
  </si>
  <si>
    <t>FL SECONDARY MODIFIERS</t>
  </si>
  <si>
    <t>FR SECONDARY MODIFIERS</t>
  </si>
  <si>
    <t>OTHER</t>
  </si>
  <si>
    <t>REAL ESTATE  SUPPLEMENTAL (REQUIRED FOR APTS/CONDOS)</t>
  </si>
  <si>
    <t>MISCELLANEOUS (EDITABLE INFO)</t>
  </si>
  <si>
    <t>WS</t>
  </si>
  <si>
    <t>EQ</t>
  </si>
  <si>
    <t>TO</t>
  </si>
  <si>
    <t>Geocode Match Level</t>
  </si>
  <si>
    <t>Geocode Response Status</t>
  </si>
  <si>
    <t>Street Address</t>
  </si>
  <si>
    <t>City</t>
  </si>
  <si>
    <t>State Code</t>
  </si>
  <si>
    <t>Postal Code</t>
  </si>
  <si>
    <t>County</t>
  </si>
  <si>
    <t>Country*</t>
  </si>
  <si>
    <t>PML Zone (CRESTA)</t>
  </si>
  <si>
    <t>Latitude</t>
  </si>
  <si>
    <t>Longitude</t>
  </si>
  <si>
    <t>Building</t>
  </si>
  <si>
    <t>Contents</t>
  </si>
  <si>
    <t>BI</t>
  </si>
  <si>
    <t>Site Limit</t>
  </si>
  <si>
    <t>WS Special Case</t>
  </si>
  <si>
    <t>WS Site Deductible</t>
  </si>
  <si>
    <t>WS Building Deductible</t>
  </si>
  <si>
    <t>WS Contents Deductible</t>
  </si>
  <si>
    <t>WS BI Deductible</t>
  </si>
  <si>
    <t>EQ Special Case</t>
  </si>
  <si>
    <t>EQ Site Deductible</t>
  </si>
  <si>
    <t>EQ Building Deductible</t>
  </si>
  <si>
    <t>EQ Contents Deductible</t>
  </si>
  <si>
    <t>EQ BI Deductible</t>
  </si>
  <si>
    <t>TO Special Case</t>
  </si>
  <si>
    <t>TO Site Deductible</t>
  </si>
  <si>
    <t>TO Building Deductible</t>
  </si>
  <si>
    <t>TO Contents Deductible</t>
  </si>
  <si>
    <t>TO BI Deductible</t>
  </si>
  <si>
    <t>BI Waiting Period (days)</t>
  </si>
  <si>
    <t>Construction Scheme</t>
  </si>
  <si>
    <t>Construction Class</t>
  </si>
  <si>
    <t>Construction Description</t>
  </si>
  <si>
    <t>Occupancy Scheme</t>
  </si>
  <si>
    <t>Occupancy Type</t>
  </si>
  <si>
    <t>Occupancy Description</t>
  </si>
  <si>
    <t>Year Built</t>
  </si>
  <si>
    <t>Year Upgraded</t>
  </si>
  <si>
    <t>Start Date</t>
  </si>
  <si>
    <t>Completion Date</t>
  </si>
  <si>
    <t>Percent Complete</t>
  </si>
  <si>
    <t># Bldg</t>
  </si>
  <si>
    <t>Number of Stories</t>
  </si>
  <si>
    <t>Floor Area (sq ft)</t>
  </si>
  <si>
    <t>Content Grade</t>
  </si>
  <si>
    <t>Flood Defense Elevation</t>
  </si>
  <si>
    <t>Flood Defense Elevation Unit</t>
  </si>
  <si>
    <t>Rental Property Identifier</t>
  </si>
  <si>
    <t>MFD Subcategory</t>
  </si>
  <si>
    <t>Windstorm Cause of Loss</t>
  </si>
  <si>
    <t>WS Construction Quality</t>
  </si>
  <si>
    <t>WS Roof Covering</t>
  </si>
  <si>
    <t>WS Roof Age / Condition</t>
  </si>
  <si>
    <t>WS Roof Geometry</t>
  </si>
  <si>
    <t>WS Roof Anchor</t>
  </si>
  <si>
    <t>WS Basement</t>
  </si>
  <si>
    <t>WS Commercial Appurtenant Structures</t>
  </si>
  <si>
    <t>WS Cladding Type</t>
  </si>
  <si>
    <t>WS Roof Sheathing Attachment</t>
  </si>
  <si>
    <t>WS Frame-Foundation Connection</t>
  </si>
  <si>
    <t>WS Residential Appurtenant Structures</t>
  </si>
  <si>
    <t>WS Roof Equipment Hurricane Bracing</t>
  </si>
  <si>
    <t>WS Ground-Level Equipment</t>
  </si>
  <si>
    <t>WS Opening Protection</t>
  </si>
  <si>
    <t>Building Elevation (feet)</t>
  </si>
  <si>
    <t>Building Elevation Match</t>
  </si>
  <si>
    <t>Rms Building Elevation (feet)</t>
  </si>
  <si>
    <t>Rms Building Elevation Match</t>
  </si>
  <si>
    <t>NFIP Year</t>
  </si>
  <si>
    <t>NFIP Year Match</t>
  </si>
  <si>
    <t>NFIP Rate</t>
  </si>
  <si>
    <t>Flashing and Coping Quality</t>
  </si>
  <si>
    <t>IFM Vertical Exposure Distribution</t>
  </si>
  <si>
    <t>IFM Structure Condition</t>
  </si>
  <si>
    <t>WS IFM Outdoor Machinery/Equipment Bracing</t>
  </si>
  <si>
    <t>WS IFM Site Hazard</t>
  </si>
  <si>
    <t>WS BI Zone</t>
  </si>
  <si>
    <t>Plan Irregularity</t>
  </si>
  <si>
    <t>Soft Story</t>
  </si>
  <si>
    <t>Vertical Irregularity</t>
  </si>
  <si>
    <t>EQ Cladding Type</t>
  </si>
  <si>
    <t>Short Column</t>
  </si>
  <si>
    <t>URM Chimney/Partition</t>
  </si>
  <si>
    <t>Ornamentation</t>
  </si>
  <si>
    <t>Cripple Walls</t>
  </si>
  <si>
    <t>Frame Bolted</t>
  </si>
  <si>
    <t>Anchoring</t>
  </si>
  <si>
    <t>URM Retrofit</t>
  </si>
  <si>
    <t>Structural Upgrade (Non URMs)</t>
  </si>
  <si>
    <t>Equipment EQ. Bracing</t>
  </si>
  <si>
    <t>EQ Construction Quality</t>
  </si>
  <si>
    <t>Equipment Support Maintenance</t>
  </si>
  <si>
    <t>Pounding</t>
  </si>
  <si>
    <t>Engineered Foundation</t>
  </si>
  <si>
    <t>Sprinkler Type</t>
  </si>
  <si>
    <t>EQSL Susceptibility</t>
  </si>
  <si>
    <t>Base Isolation</t>
  </si>
  <si>
    <t>EQSL Coverage</t>
  </si>
  <si>
    <t>BI Preparedness</t>
  </si>
  <si>
    <t>BI Redundancy</t>
  </si>
  <si>
    <t>Service Interruption Cvg</t>
  </si>
  <si>
    <t>SI Waiting Period (days)</t>
  </si>
  <si>
    <t>SI Limit</t>
  </si>
  <si>
    <t>TO Construction Quality</t>
  </si>
  <si>
    <t>TO Roof Framing Type</t>
  </si>
  <si>
    <t>TO Roof Covering</t>
  </si>
  <si>
    <t>TO Roof Maintenance</t>
  </si>
  <si>
    <t>TO Roof Age</t>
  </si>
  <si>
    <t>TO Roof Geometry</t>
  </si>
  <si>
    <t>TO Roof Parapets</t>
  </si>
  <si>
    <t>TO Roof Anchor</t>
  </si>
  <si>
    <t>TO External Ornamentation</t>
  </si>
  <si>
    <t>TO Cladding Type</t>
  </si>
  <si>
    <t>TO Roof Sheathing Attachment</t>
  </si>
  <si>
    <t>TO Foundation System</t>
  </si>
  <si>
    <t>TO Architectural Elements</t>
  </si>
  <si>
    <t>TO Mech./Elec. Equipment - Roof</t>
  </si>
  <si>
    <t>TO Mech./Elec. Equipment - Side of Building</t>
  </si>
  <si>
    <t>TO Wind Resistance - Windows</t>
  </si>
  <si>
    <t>TO Resistance - Doors</t>
  </si>
  <si>
    <t>TO Contents Vulnerability Due to Wind</t>
  </si>
  <si>
    <t>TO Contents Vulnerability Due To Water</t>
  </si>
  <si>
    <t>TO Wind Missiles</t>
  </si>
  <si>
    <t>TO Basement</t>
  </si>
  <si>
    <t>TO Mech./Elec. Equipment - Ground Level</t>
  </si>
  <si>
    <t>Ice Dam Protection</t>
  </si>
  <si>
    <t>Plumbing Insulation</t>
  </si>
  <si>
    <t>Attic Insulation</t>
  </si>
  <si>
    <t>Roof Ventilation</t>
  </si>
  <si>
    <t>Snow Guards</t>
  </si>
  <si>
    <t>Tree Density</t>
  </si>
  <si>
    <t>Finished Floor Elevation</t>
  </si>
  <si>
    <t>Sprinkler System</t>
  </si>
  <si>
    <t>Fire Department Rating</t>
  </si>
  <si>
    <t>Fire Department Rating Modifier</t>
  </si>
  <si>
    <t>Remote Alarm Monitoring</t>
  </si>
  <si>
    <t>Distance to Coast (miles)</t>
  </si>
  <si>
    <t>Elevation (feet)</t>
  </si>
  <si>
    <t>Flood Zone</t>
  </si>
  <si>
    <t>Other Flood Zones</t>
  </si>
  <si>
    <t>Soil Type</t>
  </si>
  <si>
    <t>Liquefaction</t>
  </si>
  <si>
    <t>Landslide</t>
  </si>
  <si>
    <t>Sinkhole to Hazard Zone</t>
  </si>
  <si>
    <t>Distance to Closest Sinkhole</t>
  </si>
  <si>
    <t>Distance to Closest Mine</t>
  </si>
  <si>
    <t>Distance to Fault (miles)</t>
  </si>
  <si>
    <t>AP Zone</t>
  </si>
  <si>
    <t>Slope</t>
  </si>
  <si>
    <t>MMI 250</t>
  </si>
  <si>
    <t>Wildfire Hazard</t>
  </si>
  <si>
    <t>Wildfire Susceptibility</t>
  </si>
  <si>
    <t>Wildfire Threat</t>
  </si>
  <si>
    <t>Wildfire Area</t>
  </si>
  <si>
    <t>Wildfire Accessibility</t>
  </si>
  <si>
    <t>Wildfire Fuel Type</t>
  </si>
  <si>
    <t>WS GU AAL</t>
  </si>
  <si>
    <t>WS GR AAL</t>
  </si>
  <si>
    <t>EQ GU AAL</t>
  </si>
  <si>
    <t>EQ GR AAL</t>
  </si>
  <si>
    <t>SC GU AAL</t>
  </si>
  <si>
    <t>SC GR AAL</t>
  </si>
  <si>
    <t>WT GU AAL</t>
  </si>
  <si>
    <t>WT GR AAL</t>
  </si>
  <si>
    <t>EQ US</t>
  </si>
  <si>
    <t>EQ CA</t>
  </si>
  <si>
    <t>WT</t>
  </si>
  <si>
    <t>AdminExtn1GeoID</t>
  </si>
  <si>
    <t>AdminExtn1GeoID2</t>
  </si>
  <si>
    <t>CountryGeoID</t>
  </si>
  <si>
    <t>CountyCode</t>
  </si>
  <si>
    <t>GeoDataSource</t>
  </si>
  <si>
    <t>GeoDataSourceVersionID</t>
  </si>
  <si>
    <t>GeoLocCode</t>
  </si>
  <si>
    <t>GeoMatchCode</t>
  </si>
  <si>
    <t>PostCodeExtnGeoID</t>
  </si>
  <si>
    <t>GeoProductVersion</t>
  </si>
  <si>
    <t>Locationcode</t>
  </si>
  <si>
    <t>Block</t>
  </si>
  <si>
    <t>Blockgroup</t>
  </si>
  <si>
    <t>Georesolutionconfidence</t>
  </si>
  <si>
    <t>Geoaccuracybuffer</t>
  </si>
  <si>
    <t>FR</t>
  </si>
  <si>
    <t>TR</t>
  </si>
  <si>
    <t>Sanborn Building ID</t>
  </si>
  <si>
    <t>Sanborn Building Name</t>
  </si>
  <si>
    <t>Downtown Business District</t>
  </si>
  <si>
    <t>FL Special Case</t>
  </si>
  <si>
    <t>FL Site Deductible</t>
  </si>
  <si>
    <t>FL Building Deductible</t>
  </si>
  <si>
    <t>FL Contents Deductible</t>
  </si>
  <si>
    <t>FL BI Deductible</t>
  </si>
  <si>
    <t>FR Site Deductible</t>
  </si>
  <si>
    <t>FR Building Deductible</t>
  </si>
  <si>
    <t>FR Contents Deductible</t>
  </si>
  <si>
    <t>FR BI Deductible</t>
  </si>
  <si>
    <t>TR Site Deductible</t>
  </si>
  <si>
    <t>TR Building Deductible</t>
  </si>
  <si>
    <t>TR Contents Deductible</t>
  </si>
  <si>
    <t>TR BI Deductible</t>
  </si>
  <si>
    <t>MS/B Valuation</t>
  </si>
  <si>
    <t>Valuation Difference (Percent)</t>
  </si>
  <si>
    <t>Valuation Difference (Amount)</t>
  </si>
  <si>
    <t>% Sprinklered</t>
  </si>
  <si>
    <t># of units</t>
  </si>
  <si>
    <t>Year Plumbing updated (if age of building &gt; 20 years)</t>
  </si>
  <si>
    <t>Year Electric updated (if age of building &gt; 20 years)</t>
  </si>
  <si>
    <t>Year HVAC updated (if age of building &gt; 20 years )</t>
  </si>
  <si>
    <t>% Section 8</t>
  </si>
  <si>
    <t>% Student Housing</t>
  </si>
  <si>
    <t>% senior housing</t>
  </si>
  <si>
    <t>% Assisted Living</t>
  </si>
  <si>
    <t>% occupied</t>
  </si>
  <si>
    <t>Smoke Detectors (Hard Wired or Battery)</t>
  </si>
  <si>
    <t>Miscellaneous Other information (EDITABLE)22</t>
  </si>
  <si>
    <t>Miscellaneous Other information (EDITABLE)3</t>
  </si>
  <si>
    <t>Totals:</t>
  </si>
  <si>
    <t>The BLVD Group, LLC</t>
  </si>
  <si>
    <t>Loc #</t>
  </si>
  <si>
    <t>Bldg #</t>
  </si>
  <si>
    <t>Loc Name</t>
  </si>
  <si>
    <t>Wiring Type: 
Copper,
Aluminum - Pigtailed,
Aluminum - Co/Alr,
Aluminum - Copalum,
Aluminum - Alumicon,
or Aluminum non-Remediated?</t>
  </si>
  <si>
    <t>Are Stab Lok, Federal Pacific or Zinsco Circuit Breakers/Panels Present?</t>
  </si>
  <si>
    <t>Year Last Roof Imporvement</t>
  </si>
  <si>
    <t>Roof Type (Built Up (BUR), Metal, TPO/PVC, EPDM, Shingle, etc)</t>
  </si>
  <si>
    <t># Pools?</t>
  </si>
  <si>
    <t>Chicago - Indian</t>
  </si>
  <si>
    <t>221 E 121st Pl</t>
  </si>
  <si>
    <t>Chicago</t>
  </si>
  <si>
    <t>IL</t>
  </si>
  <si>
    <t>Cook</t>
  </si>
  <si>
    <t xml:space="preserve"> $-   </t>
  </si>
  <si>
    <t>Steel &amp; Structural Concrete</t>
  </si>
  <si>
    <t>HAP</t>
  </si>
  <si>
    <t>No</t>
  </si>
  <si>
    <t>Copper</t>
  </si>
  <si>
    <t>Siemens</t>
  </si>
  <si>
    <t>Flat w/ BUR &amp; Bitumen Cap Sheet</t>
  </si>
  <si>
    <t>None</t>
  </si>
  <si>
    <t>Battery</t>
  </si>
  <si>
    <t>N</t>
  </si>
  <si>
    <t>Doves Manor</t>
  </si>
  <si>
    <t>1040 Brookview Drive</t>
  </si>
  <si>
    <t>Toledo</t>
  </si>
  <si>
    <t>OH</t>
  </si>
  <si>
    <t>Lucas</t>
  </si>
  <si>
    <t>Wood Framing</t>
  </si>
  <si>
    <t>Pitched Asphalt Shingles</t>
  </si>
  <si>
    <t>Hard wired</t>
  </si>
  <si>
    <t>Dublin</t>
  </si>
  <si>
    <t>4800 Tassajara Rd</t>
  </si>
  <si>
    <t>CA</t>
  </si>
  <si>
    <t>Alameda</t>
  </si>
  <si>
    <t>Mod Income</t>
  </si>
  <si>
    <t>BUR w/ granulated cap sheet</t>
  </si>
  <si>
    <t>Y</t>
  </si>
  <si>
    <t>LA78</t>
  </si>
  <si>
    <t>135 S Reno</t>
  </si>
  <si>
    <t>Los Angeles</t>
  </si>
  <si>
    <t>HAP/LIHTC</t>
  </si>
  <si>
    <t>Yes, Parcel C Only</t>
  </si>
  <si>
    <t>Federal Pacific</t>
  </si>
  <si>
    <t>Flat BUR</t>
  </si>
  <si>
    <t>Hard Wired w/ Battery Backup</t>
  </si>
  <si>
    <t>825 Forest</t>
  </si>
  <si>
    <t>831 Lucile</t>
  </si>
  <si>
    <t>6*</t>
  </si>
  <si>
    <t>NOT Fed Pacific</t>
  </si>
  <si>
    <t xml:space="preserve">1951 West 22nd Street </t>
  </si>
  <si>
    <t>4131 W Normal</t>
  </si>
  <si>
    <t>Murray</t>
  </si>
  <si>
    <t>Federal Pacific at Parcel F Only</t>
  </si>
  <si>
    <t>4215 Burns</t>
  </si>
  <si>
    <t>Las Vegas</t>
  </si>
  <si>
    <t xml:space="preserve">316 W Baltimore Ave </t>
  </si>
  <si>
    <t>NV</t>
  </si>
  <si>
    <t>Clark</t>
  </si>
  <si>
    <t>1958/1960</t>
  </si>
  <si>
    <t>Flat TPO</t>
  </si>
  <si>
    <t>2018 - Fixtures and DHW</t>
  </si>
  <si>
    <t>Lewiston</t>
  </si>
  <si>
    <t>1003 North Broadway Street</t>
  </si>
  <si>
    <t>Fulton</t>
  </si>
  <si>
    <t>Mesa</t>
  </si>
  <si>
    <t xml:space="preserve">615 South Williams </t>
  </si>
  <si>
    <t xml:space="preserve">Mesa </t>
  </si>
  <si>
    <t>AZ</t>
  </si>
  <si>
    <t>Maricopa</t>
  </si>
  <si>
    <t>Pitched w/ Clay Tiles</t>
  </si>
  <si>
    <t>Palmdale</t>
  </si>
  <si>
    <t>38002 15th Street E</t>
  </si>
  <si>
    <t>Braeburn</t>
  </si>
  <si>
    <t>45 Harwol St</t>
  </si>
  <si>
    <t>Providence</t>
  </si>
  <si>
    <t>RI</t>
  </si>
  <si>
    <t>Asphalt Shingle</t>
  </si>
  <si>
    <t>2022 - Fixtures and DHW</t>
  </si>
  <si>
    <t>40 Shiloh St</t>
  </si>
  <si>
    <t>50 Burns St</t>
  </si>
  <si>
    <t>Chatham</t>
  </si>
  <si>
    <t xml:space="preserve">188 Chatham Street </t>
  </si>
  <si>
    <t>Included Above</t>
  </si>
  <si>
    <t>2022 - Fixutures and DHW</t>
  </si>
  <si>
    <t>Concord</t>
  </si>
  <si>
    <t>15 Concord Gardens</t>
  </si>
  <si>
    <t>NH</t>
  </si>
  <si>
    <t>Merrimack</t>
  </si>
  <si>
    <t>HAP/ MKT</t>
  </si>
  <si>
    <t>2024 Planned</t>
  </si>
  <si>
    <t>Pitched w/ Shingles</t>
  </si>
  <si>
    <t>Newport News</t>
  </si>
  <si>
    <t xml:space="preserve">648, 650, 652 Aqua Vista Drive </t>
  </si>
  <si>
    <t>VA</t>
  </si>
  <si>
    <t>Aluminum</t>
  </si>
  <si>
    <t>Flat BUR w/ mineral surfaced cap sheet</t>
  </si>
  <si>
    <t>654, 656, 658, 660 Aqua Vista Drive</t>
  </si>
  <si>
    <t>672, 674 Aqua Vista Drive</t>
  </si>
  <si>
    <t>676, 678 Aqua Vista Drive</t>
  </si>
  <si>
    <t>680, 682 Aqua Vista Drive</t>
  </si>
  <si>
    <t>668, 670 Aqua Vista Drive</t>
  </si>
  <si>
    <t>662, 664, 666 Aqua Vista Drive</t>
  </si>
  <si>
    <t xml:space="preserve">684, 686, 688 Aqua Vista Drive </t>
  </si>
  <si>
    <t>690, 692 Aqua Vista Drive</t>
  </si>
  <si>
    <t>694, 696 Aqua Vista Drive</t>
  </si>
  <si>
    <t>Woonsocket</t>
  </si>
  <si>
    <t>121Rock Ridge Dr</t>
  </si>
  <si>
    <t>South Houston</t>
  </si>
  <si>
    <t>1301 Avenue A</t>
  </si>
  <si>
    <t>Houston</t>
  </si>
  <si>
    <t>TX</t>
  </si>
  <si>
    <t>Harris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</si>
</sst>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70" formatCode="m/d/yy;@"/>
  </numFmts>
  <fonts count="3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rgb="FFFFFFFF"/>
      <name val="Arial"/>
      <family val="2"/>
    </font>
    <font>
      <b/>
      <sz val="8"/>
      <color rgb="FFC00000"/>
      <name val="Arial"/>
      <family val="2"/>
    </font>
    <font>
      <b/>
      <sz val="8"/>
      <color rgb="FF0F243E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color indexed="8"/>
      <name val="Arial"/>
      <family val="2"/>
    </font>
    <font>
      <b/>
      <sz val="8"/>
      <color theme="0"/>
      <name val="Arial"/>
      <family val="2"/>
    </font>
    <font>
      <u/>
      <sz val="9"/>
      <color indexed="81"/>
      <name val="Tahoma"/>
      <family val="2"/>
    </font>
    <font>
      <sz val="9"/>
      <color indexed="81"/>
      <name val="Tahoma"/>
      <family val="2"/>
    </font>
  </fonts>
  <fills count="4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7609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theme="0" tint="-0.1499679555650502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9"/>
      </right>
      <top style="medium">
        <color auto="1"/>
      </top>
      <bottom style="medium">
        <color auto="1"/>
      </bottom>
      <diagonal/>
    </border>
    <border>
      <left style="thin">
        <color indexed="9"/>
      </left>
      <right style="thin">
        <color indexed="9"/>
      </right>
      <top style="medium">
        <color auto="1"/>
      </top>
      <bottom style="medium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rgb="FF0F243E"/>
      </left>
      <right style="thin">
        <color rgb="FF0F243E"/>
      </right>
      <top style="thin">
        <color rgb="FF0F243E"/>
      </top>
      <bottom style="thin">
        <color rgb="FF0F243E"/>
      </bottom>
      <diagonal/>
    </border>
    <border>
      <left style="thin">
        <color rgb="FF0F243E"/>
      </left>
      <right/>
      <top style="thin">
        <color rgb="FF0F243E"/>
      </top>
      <bottom style="thin">
        <color rgb="FF0F243E"/>
      </bottom>
      <diagonal/>
    </border>
    <border>
      <left/>
      <right/>
      <top style="thin">
        <color rgb="FF0F243E"/>
      </top>
      <bottom style="thin">
        <color rgb="FF0F243E"/>
      </bottom>
      <diagonal/>
    </border>
    <border>
      <left/>
      <right style="thin">
        <color rgb="FF0F243E"/>
      </right>
      <top style="thin">
        <color rgb="FF0F243E"/>
      </top>
      <bottom style="thin">
        <color rgb="FF0F243E"/>
      </bottom>
      <diagonal/>
    </border>
    <border>
      <left style="medium">
        <color rgb="FF0F243E"/>
      </left>
      <right style="thin">
        <color rgb="FF0F243E"/>
      </right>
      <top style="medium">
        <color rgb="FF0F243E"/>
      </top>
      <bottom style="thin">
        <color rgb="FF0F243E"/>
      </bottom>
      <diagonal/>
    </border>
    <border>
      <left style="thin">
        <color rgb="FF0F243E"/>
      </left>
      <right style="thin">
        <color rgb="FF0F243E"/>
      </right>
      <top style="medium">
        <color rgb="FF0F243E"/>
      </top>
      <bottom style="thin">
        <color rgb="FF0F243E"/>
      </bottom>
      <diagonal/>
    </border>
    <border>
      <left style="thin">
        <color rgb="FF0F243E"/>
      </left>
      <right style="medium">
        <color rgb="FF0F243E"/>
      </right>
      <top style="medium">
        <color rgb="FF0F243E"/>
      </top>
      <bottom style="thin">
        <color rgb="FF0F243E"/>
      </bottom>
      <diagonal/>
    </border>
    <border>
      <left style="thin">
        <color rgb="FF0F243E"/>
      </left>
      <right style="thin">
        <color rgb="FF0F243E"/>
      </right>
      <top style="thin">
        <color rgb="FF0F243E"/>
      </top>
      <bottom/>
      <diagonal/>
    </border>
    <border>
      <left style="thin">
        <color rgb="FF0F243E"/>
      </left>
      <right/>
      <top style="thin">
        <color rgb="FF0F243E"/>
      </top>
      <bottom/>
      <diagonal/>
    </border>
    <border>
      <left style="medium">
        <color rgb="FF0F243E"/>
      </left>
      <right style="thin">
        <color rgb="FF0F243E"/>
      </right>
      <top style="thin">
        <color rgb="FF0F243E"/>
      </top>
      <bottom/>
      <diagonal/>
    </border>
    <border>
      <left style="thin">
        <color rgb="FF0F243E"/>
      </left>
      <right style="medium">
        <color rgb="FF0F243E"/>
      </right>
      <top style="thin">
        <color rgb="FF0F243E"/>
      </top>
      <bottom/>
      <diagonal/>
    </border>
    <border>
      <left/>
      <right style="thin">
        <color rgb="FF0F243E"/>
      </right>
      <top style="thin">
        <color rgb="FF0F243E"/>
      </top>
      <bottom/>
      <diagonal/>
    </border>
    <border>
      <left style="medium">
        <color rgb="FF0F243E"/>
      </left>
      <right style="thin">
        <color rgb="FF0F243E"/>
      </right>
      <top/>
      <bottom/>
      <diagonal/>
    </border>
    <border>
      <left style="thin">
        <color rgb="FF0F243E"/>
      </left>
      <right style="thin">
        <color rgb="FF0F243E"/>
      </right>
      <top/>
      <bottom/>
      <diagonal/>
    </border>
    <border>
      <left style="thin">
        <color rgb="FF0F243E"/>
      </left>
      <right style="medium">
        <color rgb="FF0F243E"/>
      </right>
      <top/>
      <bottom/>
      <diagonal/>
    </border>
    <border>
      <left/>
      <right style="thin">
        <color rgb="FF0F243E"/>
      </right>
      <top/>
      <bottom/>
      <diagonal/>
    </border>
    <border>
      <left style="thin">
        <color rgb="FF0F243E"/>
      </left>
      <right/>
      <top/>
      <bottom/>
      <diagonal/>
    </border>
    <border>
      <left style="thin">
        <color rgb="FF0F243E"/>
      </left>
      <right style="thin">
        <color rgb="FF0F243E"/>
      </right>
      <top/>
      <bottom style="thin">
        <color rgb="FF0F243E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theme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F243E"/>
      </right>
      <top style="medium">
        <color indexed="64"/>
      </top>
      <bottom style="medium">
        <color indexed="64"/>
      </bottom>
      <diagonal/>
    </border>
    <border>
      <left style="thin">
        <color rgb="FF0F243E"/>
      </left>
      <right style="thin">
        <color rgb="FF0F243E"/>
      </right>
      <top style="medium">
        <color indexed="64"/>
      </top>
      <bottom style="medium">
        <color indexed="64"/>
      </bottom>
      <diagonal/>
    </border>
    <border>
      <left style="thin">
        <color rgb="FF0F243E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F243E"/>
      </right>
      <top/>
      <bottom style="thin">
        <color rgb="FF0F243E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22">
    <xf numFmtId="0" fontId="0" fillId="0" borderId="0"/>
    <xf numFmtId="0" fontId="4" fillId="0" borderId="0"/>
    <xf numFmtId="9" fontId="4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7" fontId="5" fillId="0" borderId="0"/>
    <xf numFmtId="17" fontId="5" fillId="0" borderId="0"/>
    <xf numFmtId="17" fontId="5" fillId="0" borderId="0"/>
    <xf numFmtId="17" fontId="5" fillId="0" borderId="0"/>
    <xf numFmtId="0" fontId="6" fillId="0" borderId="0"/>
    <xf numFmtId="17" fontId="5" fillId="0" borderId="0"/>
    <xf numFmtId="17" fontId="5" fillId="0" borderId="0"/>
    <xf numFmtId="0" fontId="6" fillId="0" borderId="0"/>
    <xf numFmtId="0" fontId="6" fillId="0" borderId="0"/>
    <xf numFmtId="0" fontId="4" fillId="0" borderId="0"/>
    <xf numFmtId="0" fontId="6" fillId="0" borderId="0"/>
    <xf numFmtId="0" fontId="4" fillId="0" borderId="0"/>
    <xf numFmtId="17" fontId="5" fillId="0" borderId="0"/>
    <xf numFmtId="17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10" fillId="22" borderId="5" applyNumberFormat="0" applyAlignment="0" applyProtection="0"/>
    <xf numFmtId="0" fontId="10" fillId="22" borderId="5" applyNumberFormat="0" applyAlignment="0" applyProtection="0"/>
    <xf numFmtId="0" fontId="10" fillId="22" borderId="5" applyNumberFormat="0" applyAlignment="0" applyProtection="0"/>
    <xf numFmtId="0" fontId="10" fillId="22" borderId="5" applyNumberFormat="0" applyAlignment="0" applyProtection="0"/>
    <xf numFmtId="0" fontId="10" fillId="22" borderId="5" applyNumberFormat="0" applyAlignment="0" applyProtection="0"/>
    <xf numFmtId="0" fontId="10" fillId="22" borderId="5" applyNumberFormat="0" applyAlignment="0" applyProtection="0"/>
    <xf numFmtId="0" fontId="11" fillId="23" borderId="6" applyNumberFormat="0" applyAlignment="0" applyProtection="0"/>
    <xf numFmtId="0" fontId="11" fillId="23" borderId="6" applyNumberFormat="0" applyAlignment="0" applyProtection="0"/>
    <xf numFmtId="0" fontId="11" fillId="23" borderId="6" applyNumberFormat="0" applyAlignment="0" applyProtection="0"/>
    <xf numFmtId="0" fontId="11" fillId="23" borderId="6" applyNumberFormat="0" applyAlignment="0" applyProtection="0"/>
    <xf numFmtId="0" fontId="11" fillId="23" borderId="6" applyNumberFormat="0" applyAlignment="0" applyProtection="0"/>
    <xf numFmtId="0" fontId="11" fillId="23" borderId="6" applyNumberFormat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4" fillId="0" borderId="7" applyNumberFormat="0" applyFill="0" applyAlignment="0" applyProtection="0"/>
    <xf numFmtId="0" fontId="14" fillId="0" borderId="7" applyNumberFormat="0" applyFill="0" applyAlignment="0" applyProtection="0"/>
    <xf numFmtId="0" fontId="14" fillId="0" borderId="7" applyNumberFormat="0" applyFill="0" applyAlignment="0" applyProtection="0"/>
    <xf numFmtId="0" fontId="14" fillId="0" borderId="7" applyNumberFormat="0" applyFill="0" applyAlignment="0" applyProtection="0"/>
    <xf numFmtId="0" fontId="14" fillId="0" borderId="7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9" borderId="5" applyNumberFormat="0" applyAlignment="0" applyProtection="0"/>
    <xf numFmtId="0" fontId="17" fillId="9" borderId="5" applyNumberFormat="0" applyAlignment="0" applyProtection="0"/>
    <xf numFmtId="0" fontId="17" fillId="9" borderId="5" applyNumberFormat="0" applyAlignment="0" applyProtection="0"/>
    <xf numFmtId="0" fontId="17" fillId="9" borderId="5" applyNumberFormat="0" applyAlignment="0" applyProtection="0"/>
    <xf numFmtId="0" fontId="17" fillId="9" borderId="5" applyNumberFormat="0" applyAlignment="0" applyProtection="0"/>
    <xf numFmtId="0" fontId="17" fillId="9" borderId="5" applyNumberFormat="0" applyAlignment="0" applyProtection="0"/>
    <xf numFmtId="0" fontId="18" fillId="0" borderId="10" applyNumberFormat="0" applyFill="0" applyAlignment="0" applyProtection="0"/>
    <xf numFmtId="0" fontId="18" fillId="0" borderId="10" applyNumberFormat="0" applyFill="0" applyAlignment="0" applyProtection="0"/>
    <xf numFmtId="0" fontId="18" fillId="0" borderId="10" applyNumberFormat="0" applyFill="0" applyAlignment="0" applyProtection="0"/>
    <xf numFmtId="0" fontId="18" fillId="0" borderId="10" applyNumberFormat="0" applyFill="0" applyAlignment="0" applyProtection="0"/>
    <xf numFmtId="0" fontId="18" fillId="0" borderId="10" applyNumberFormat="0" applyFill="0" applyAlignment="0" applyProtection="0"/>
    <xf numFmtId="0" fontId="18" fillId="0" borderId="10" applyNumberFormat="0" applyFill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4" fillId="0" borderId="0"/>
    <xf numFmtId="0" fontId="5" fillId="25" borderId="11" applyNumberFormat="0" applyFont="0" applyAlignment="0" applyProtection="0"/>
    <xf numFmtId="0" fontId="5" fillId="25" borderId="11" applyNumberFormat="0" applyFont="0" applyAlignment="0" applyProtection="0"/>
    <xf numFmtId="0" fontId="5" fillId="25" borderId="11" applyNumberFormat="0" applyFont="0" applyAlignment="0" applyProtection="0"/>
    <xf numFmtId="0" fontId="5" fillId="25" borderId="11" applyNumberFormat="0" applyFont="0" applyAlignment="0" applyProtection="0"/>
    <xf numFmtId="0" fontId="5" fillId="25" borderId="11" applyNumberFormat="0" applyFont="0" applyAlignment="0" applyProtection="0"/>
    <xf numFmtId="0" fontId="5" fillId="25" borderId="11" applyNumberFormat="0" applyFont="0" applyAlignment="0" applyProtection="0"/>
    <xf numFmtId="0" fontId="20" fillId="22" borderId="12" applyNumberFormat="0" applyAlignment="0" applyProtection="0"/>
    <xf numFmtId="0" fontId="20" fillId="22" borderId="12" applyNumberFormat="0" applyAlignment="0" applyProtection="0"/>
    <xf numFmtId="0" fontId="20" fillId="22" borderId="12" applyNumberFormat="0" applyAlignment="0" applyProtection="0"/>
    <xf numFmtId="0" fontId="20" fillId="22" borderId="12" applyNumberFormat="0" applyAlignment="0" applyProtection="0"/>
    <xf numFmtId="0" fontId="20" fillId="22" borderId="12" applyNumberFormat="0" applyAlignment="0" applyProtection="0"/>
    <xf numFmtId="0" fontId="20" fillId="22" borderId="12" applyNumberFormat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2" fillId="0" borderId="13" applyNumberFormat="0" applyFill="0" applyAlignment="0" applyProtection="0"/>
    <xf numFmtId="0" fontId="22" fillId="0" borderId="13" applyNumberFormat="0" applyFill="0" applyAlignment="0" applyProtection="0"/>
    <xf numFmtId="0" fontId="22" fillId="0" borderId="13" applyNumberFormat="0" applyFill="0" applyAlignment="0" applyProtection="0"/>
    <xf numFmtId="0" fontId="22" fillId="0" borderId="13" applyNumberFormat="0" applyFill="0" applyAlignment="0" applyProtection="0"/>
    <xf numFmtId="0" fontId="22" fillId="0" borderId="13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5" fillId="0" borderId="0"/>
  </cellStyleXfs>
  <cellXfs count="108">
    <xf numFmtId="0" fontId="0" fillId="0" borderId="0" xfId="0"/>
    <xf numFmtId="0" fontId="25" fillId="0" borderId="20" xfId="0" applyFont="1" applyBorder="1" applyAlignment="1" applyProtection="1">
      <alignment horizontal="center"/>
      <protection locked="0"/>
    </xf>
    <xf numFmtId="0" fontId="25" fillId="0" borderId="18" xfId="0" applyFont="1" applyBorder="1" applyAlignment="1" applyProtection="1">
      <alignment horizontal="center"/>
      <protection locked="0"/>
    </xf>
    <xf numFmtId="0" fontId="24" fillId="0" borderId="21" xfId="0" applyFont="1" applyBorder="1" applyAlignment="1" applyProtection="1">
      <alignment horizontal="center"/>
      <protection locked="0"/>
    </xf>
    <xf numFmtId="49" fontId="24" fillId="0" borderId="21" xfId="0" applyNumberFormat="1" applyFont="1" applyBorder="1" applyAlignment="1" applyProtection="1">
      <alignment horizontal="center"/>
      <protection locked="0"/>
    </xf>
    <xf numFmtId="0" fontId="24" fillId="39" borderId="39" xfId="0" applyFont="1" applyFill="1" applyBorder="1" applyAlignment="1" applyProtection="1">
      <alignment horizontal="center" vertical="center" wrapText="1"/>
      <protection locked="0"/>
    </xf>
    <xf numFmtId="0" fontId="34" fillId="41" borderId="40" xfId="0" applyFont="1" applyFill="1" applyBorder="1" applyAlignment="1" applyProtection="1">
      <alignment horizontal="center"/>
      <protection locked="0"/>
    </xf>
    <xf numFmtId="0" fontId="33" fillId="40" borderId="0" xfId="0" applyFont="1" applyFill="1" applyAlignment="1" applyProtection="1">
      <alignment horizontal="center"/>
      <protection locked="0"/>
    </xf>
    <xf numFmtId="0" fontId="24" fillId="0" borderId="43" xfId="0" applyFont="1" applyBorder="1" applyAlignment="1" applyProtection="1">
      <alignment horizontal="center"/>
      <protection locked="0"/>
    </xf>
    <xf numFmtId="0" fontId="24" fillId="0" borderId="43" xfId="0" applyFont="1" applyBorder="1" applyAlignment="1" applyProtection="1">
      <alignment horizontal="left"/>
      <protection locked="0"/>
    </xf>
    <xf numFmtId="0" fontId="24" fillId="0" borderId="44" xfId="0" applyFont="1" applyBorder="1" applyAlignment="1" applyProtection="1">
      <alignment horizontal="center"/>
      <protection locked="0"/>
    </xf>
    <xf numFmtId="0" fontId="24" fillId="0" borderId="44" xfId="0" applyFont="1" applyBorder="1" applyAlignment="1" applyProtection="1">
      <alignment horizontal="center" vertical="center"/>
      <protection locked="0"/>
    </xf>
    <xf numFmtId="49" fontId="24" fillId="0" borderId="44" xfId="0" applyNumberFormat="1" applyFont="1" applyBorder="1" applyAlignment="1" applyProtection="1">
      <alignment horizontal="center"/>
      <protection locked="0"/>
    </xf>
    <xf numFmtId="49" fontId="24" fillId="0" borderId="43" xfId="0" applyNumberFormat="1" applyFont="1" applyBorder="1" applyAlignment="1" applyProtection="1">
      <alignment horizontal="center"/>
      <protection locked="0"/>
    </xf>
    <xf numFmtId="0" fontId="25" fillId="0" borderId="43" xfId="0" applyFont="1" applyBorder="1" applyAlignment="1" applyProtection="1">
      <alignment horizontal="center"/>
      <protection locked="0"/>
    </xf>
    <xf numFmtId="0" fontId="2" fillId="0" borderId="14" xfId="3" applyFont="1" applyBorder="1" applyAlignment="1">
      <alignment horizontal="left" vertical="center"/>
    </xf>
    <xf numFmtId="0" fontId="2" fillId="0" borderId="16" xfId="3" applyFont="1" applyBorder="1" applyAlignment="1">
      <alignment horizontal="left" vertical="center"/>
    </xf>
    <xf numFmtId="0" fontId="1" fillId="0" borderId="15" xfId="3" applyFont="1" applyBorder="1" applyAlignment="1" applyProtection="1">
      <alignment horizontal="left" vertical="center"/>
      <protection locked="0"/>
    </xf>
    <xf numFmtId="0" fontId="1" fillId="0" borderId="16" xfId="3" applyFont="1" applyBorder="1" applyAlignment="1" applyProtection="1">
      <alignment vertical="center"/>
      <protection locked="0"/>
    </xf>
    <xf numFmtId="0" fontId="1" fillId="0" borderId="17" xfId="3" applyFont="1" applyBorder="1" applyAlignment="1" applyProtection="1">
      <alignment vertical="center"/>
      <protection locked="0"/>
    </xf>
    <xf numFmtId="0" fontId="25" fillId="0" borderId="45" xfId="0" applyFont="1" applyBorder="1" applyAlignment="1" applyProtection="1">
      <alignment horizontal="center"/>
      <protection locked="0"/>
    </xf>
    <xf numFmtId="14" fontId="2" fillId="26" borderId="19" xfId="3" applyNumberFormat="1" applyFont="1" applyFill="1" applyBorder="1" applyAlignment="1" applyProtection="1">
      <alignment horizontal="center" vertical="center"/>
      <protection locked="0"/>
    </xf>
    <xf numFmtId="0" fontId="1" fillId="0" borderId="20" xfId="3" applyFont="1" applyBorder="1" applyAlignment="1" applyProtection="1">
      <alignment vertical="center"/>
      <protection locked="0"/>
    </xf>
    <xf numFmtId="0" fontId="25" fillId="0" borderId="46" xfId="0" applyFont="1" applyBorder="1" applyAlignment="1" applyProtection="1">
      <alignment horizontal="center"/>
      <protection locked="0"/>
    </xf>
    <xf numFmtId="49" fontId="25" fillId="0" borderId="43" xfId="0" applyNumberFormat="1" applyFont="1" applyBorder="1" applyAlignment="1" applyProtection="1">
      <alignment horizontal="center"/>
      <protection locked="0"/>
    </xf>
    <xf numFmtId="0" fontId="24" fillId="0" borderId="44" xfId="0" applyFont="1" applyBorder="1" applyAlignment="1" applyProtection="1">
      <alignment horizontal="left"/>
      <protection locked="0"/>
    </xf>
    <xf numFmtId="0" fontId="24" fillId="0" borderId="21" xfId="0" applyFont="1" applyBorder="1" applyAlignment="1" applyProtection="1">
      <alignment horizontal="center" vertical="center"/>
      <protection locked="0"/>
    </xf>
    <xf numFmtId="0" fontId="27" fillId="29" borderId="22" xfId="0" applyFont="1" applyFill="1" applyBorder="1" applyAlignment="1">
      <alignment horizontal="center"/>
    </xf>
    <xf numFmtId="0" fontId="28" fillId="28" borderId="22" xfId="0" applyFont="1" applyFill="1" applyBorder="1" applyAlignment="1">
      <alignment horizontal="center"/>
    </xf>
    <xf numFmtId="0" fontId="24" fillId="0" borderId="45" xfId="0" applyFont="1" applyBorder="1" applyAlignment="1" applyProtection="1">
      <alignment horizontal="center"/>
      <protection locked="0"/>
    </xf>
    <xf numFmtId="0" fontId="24" fillId="0" borderId="43" xfId="0" applyFont="1" applyBorder="1" applyAlignment="1" applyProtection="1">
      <alignment horizontal="center" vertical="center" wrapText="1"/>
      <protection locked="0"/>
    </xf>
    <xf numFmtId="0" fontId="29" fillId="34" borderId="29" xfId="0" applyFont="1" applyFill="1" applyBorder="1" applyAlignment="1">
      <alignment horizontal="center" vertical="center" wrapText="1"/>
    </xf>
    <xf numFmtId="0" fontId="30" fillId="34" borderId="29" xfId="0" applyFont="1" applyFill="1" applyBorder="1" applyAlignment="1">
      <alignment horizontal="center" vertical="center" wrapText="1"/>
    </xf>
    <xf numFmtId="49" fontId="30" fillId="34" borderId="29" xfId="0" applyNumberFormat="1" applyFont="1" applyFill="1" applyBorder="1" applyAlignment="1">
      <alignment horizontal="center" vertical="center" wrapText="1"/>
    </xf>
    <xf numFmtId="0" fontId="30" fillId="35" borderId="29" xfId="0" applyFont="1" applyFill="1" applyBorder="1" applyAlignment="1">
      <alignment horizontal="center" vertical="center" wrapText="1"/>
    </xf>
    <xf numFmtId="0" fontId="30" fillId="2" borderId="29" xfId="0" applyFont="1" applyFill="1" applyBorder="1" applyAlignment="1">
      <alignment horizontal="center" vertical="center" wrapText="1"/>
    </xf>
    <xf numFmtId="49" fontId="30" fillId="2" borderId="29" xfId="0" applyNumberFormat="1" applyFont="1" applyFill="1" applyBorder="1" applyAlignment="1">
      <alignment horizontal="center" vertical="center" wrapText="1"/>
    </xf>
    <xf numFmtId="0" fontId="30" fillId="36" borderId="29" xfId="0" applyFont="1" applyFill="1" applyBorder="1" applyAlignment="1">
      <alignment horizontal="center" vertical="center" wrapText="1"/>
    </xf>
    <xf numFmtId="0" fontId="30" fillId="35" borderId="30" xfId="0" applyFont="1" applyFill="1" applyBorder="1" applyAlignment="1">
      <alignment horizontal="center" vertical="center" wrapText="1"/>
    </xf>
    <xf numFmtId="0" fontId="30" fillId="37" borderId="31" xfId="0" applyFont="1" applyFill="1" applyBorder="1" applyAlignment="1">
      <alignment horizontal="center" vertical="center" wrapText="1"/>
    </xf>
    <xf numFmtId="0" fontId="30" fillId="37" borderId="29" xfId="0" applyFont="1" applyFill="1" applyBorder="1" applyAlignment="1">
      <alignment horizontal="center" vertical="center" wrapText="1"/>
    </xf>
    <xf numFmtId="0" fontId="30" fillId="35" borderId="32" xfId="0" applyFont="1" applyFill="1" applyBorder="1" applyAlignment="1">
      <alignment horizontal="center" vertical="center" wrapText="1"/>
    </xf>
    <xf numFmtId="0" fontId="30" fillId="35" borderId="33" xfId="0" applyFont="1" applyFill="1" applyBorder="1" applyAlignment="1">
      <alignment horizontal="center" vertical="center" wrapText="1"/>
    </xf>
    <xf numFmtId="0" fontId="30" fillId="35" borderId="34" xfId="0" applyFont="1" applyFill="1" applyBorder="1" applyAlignment="1">
      <alignment horizontal="center" vertical="center" wrapText="1"/>
    </xf>
    <xf numFmtId="0" fontId="30" fillId="35" borderId="35" xfId="0" applyFont="1" applyFill="1" applyBorder="1" applyAlignment="1">
      <alignment horizontal="center" vertical="center" wrapText="1"/>
    </xf>
    <xf numFmtId="0" fontId="30" fillId="38" borderId="35" xfId="0" applyFont="1" applyFill="1" applyBorder="1" applyAlignment="1">
      <alignment horizontal="center" vertical="center" wrapText="1"/>
    </xf>
    <xf numFmtId="0" fontId="30" fillId="35" borderId="36" xfId="0" applyFont="1" applyFill="1" applyBorder="1" applyAlignment="1">
      <alignment horizontal="center" vertical="center" wrapText="1"/>
    </xf>
    <xf numFmtId="0" fontId="30" fillId="35" borderId="37" xfId="0" applyFont="1" applyFill="1" applyBorder="1" applyAlignment="1">
      <alignment horizontal="center" vertical="center" wrapText="1"/>
    </xf>
    <xf numFmtId="49" fontId="30" fillId="35" borderId="35" xfId="0" applyNumberFormat="1" applyFont="1" applyFill="1" applyBorder="1" applyAlignment="1">
      <alignment horizontal="center" vertical="center" wrapText="1"/>
    </xf>
    <xf numFmtId="0" fontId="30" fillId="35" borderId="38" xfId="0" applyFont="1" applyFill="1" applyBorder="1" applyAlignment="1">
      <alignment horizontal="center" vertical="center" wrapText="1"/>
    </xf>
    <xf numFmtId="9" fontId="31" fillId="38" borderId="47" xfId="2" applyFont="1" applyFill="1" applyBorder="1" applyAlignment="1" applyProtection="1">
      <alignment horizontal="center" vertical="center" textRotation="90" wrapText="1"/>
    </xf>
    <xf numFmtId="0" fontId="32" fillId="26" borderId="14" xfId="0" applyFont="1" applyFill="1" applyBorder="1" applyAlignment="1">
      <alignment horizontal="center" vertical="center" wrapText="1"/>
    </xf>
    <xf numFmtId="0" fontId="32" fillId="26" borderId="1" xfId="0" applyFont="1" applyFill="1" applyBorder="1" applyAlignment="1">
      <alignment horizontal="center" vertical="center" wrapText="1"/>
    </xf>
    <xf numFmtId="170" fontId="31" fillId="26" borderId="1" xfId="0" applyNumberFormat="1" applyFont="1" applyFill="1" applyBorder="1" applyAlignment="1">
      <alignment horizontal="center" vertical="center" textRotation="90" wrapText="1"/>
    </xf>
    <xf numFmtId="170" fontId="32" fillId="26" borderId="48" xfId="0" applyNumberFormat="1" applyFont="1" applyFill="1" applyBorder="1" applyAlignment="1">
      <alignment horizontal="center" vertical="center" textRotation="90" wrapText="1"/>
    </xf>
    <xf numFmtId="170" fontId="32" fillId="26" borderId="49" xfId="0" applyNumberFormat="1" applyFont="1" applyFill="1" applyBorder="1" applyAlignment="1">
      <alignment horizontal="center" vertical="center" textRotation="90" wrapText="1"/>
    </xf>
    <xf numFmtId="9" fontId="32" fillId="26" borderId="49" xfId="0" applyNumberFormat="1" applyFont="1" applyFill="1" applyBorder="1" applyAlignment="1">
      <alignment horizontal="center" vertical="center" textRotation="90" wrapText="1"/>
    </xf>
    <xf numFmtId="3" fontId="32" fillId="26" borderId="50" xfId="0" applyNumberFormat="1" applyFont="1" applyFill="1" applyBorder="1" applyAlignment="1">
      <alignment horizontal="center" vertical="center" textRotation="90" wrapText="1"/>
    </xf>
    <xf numFmtId="0" fontId="24" fillId="39" borderId="51" xfId="0" applyFont="1" applyFill="1" applyBorder="1" applyAlignment="1" applyProtection="1">
      <alignment horizontal="center" vertical="center" wrapText="1"/>
      <protection locked="0"/>
    </xf>
    <xf numFmtId="14" fontId="24" fillId="0" borderId="52" xfId="0" applyNumberFormat="1" applyFont="1" applyBorder="1" applyAlignment="1" applyProtection="1">
      <alignment horizontal="center"/>
      <protection locked="0"/>
    </xf>
    <xf numFmtId="0" fontId="33" fillId="40" borderId="53" xfId="0" applyFont="1" applyFill="1" applyBorder="1" applyAlignment="1" applyProtection="1">
      <alignment horizontal="center" vertical="center"/>
      <protection locked="0"/>
    </xf>
    <xf numFmtId="0" fontId="33" fillId="40" borderId="53" xfId="0" applyFont="1" applyFill="1" applyBorder="1" applyAlignment="1" applyProtection="1">
      <alignment horizontal="left"/>
      <protection locked="0"/>
    </xf>
    <xf numFmtId="0" fontId="33" fillId="40" borderId="53" xfId="0" applyFont="1" applyFill="1" applyBorder="1" applyAlignment="1" applyProtection="1">
      <alignment horizontal="center"/>
      <protection locked="0"/>
    </xf>
    <xf numFmtId="49" fontId="33" fillId="40" borderId="53" xfId="0" applyNumberFormat="1" applyFont="1" applyFill="1" applyBorder="1" applyAlignment="1" applyProtection="1">
      <alignment horizontal="center"/>
      <protection locked="0"/>
    </xf>
    <xf numFmtId="5" fontId="33" fillId="40" borderId="53" xfId="0" applyNumberFormat="1" applyFont="1" applyFill="1" applyBorder="1" applyAlignment="1" applyProtection="1">
      <alignment horizontal="right" vertical="center"/>
      <protection locked="0"/>
    </xf>
    <xf numFmtId="5" fontId="33" fillId="40" borderId="53" xfId="0" applyNumberFormat="1" applyFont="1" applyFill="1" applyBorder="1" applyAlignment="1" applyProtection="1">
      <alignment horizontal="right"/>
      <protection locked="0"/>
    </xf>
    <xf numFmtId="3" fontId="33" fillId="40" borderId="53" xfId="0" applyNumberFormat="1" applyFont="1" applyFill="1" applyBorder="1" applyAlignment="1" applyProtection="1">
      <alignment horizontal="center" vertical="center"/>
      <protection locked="0"/>
    </xf>
    <xf numFmtId="3" fontId="33" fillId="40" borderId="53" xfId="0" applyNumberFormat="1" applyFont="1" applyFill="1" applyBorder="1" applyAlignment="1" applyProtection="1">
      <alignment horizontal="right"/>
      <protection locked="0"/>
    </xf>
    <xf numFmtId="9" fontId="33" fillId="40" borderId="53" xfId="0" applyNumberFormat="1" applyFont="1" applyFill="1" applyBorder="1" applyAlignment="1" applyProtection="1">
      <alignment horizontal="center" vertical="center"/>
      <protection locked="0"/>
    </xf>
    <xf numFmtId="0" fontId="33" fillId="40" borderId="53" xfId="61" applyNumberFormat="1" applyFont="1" applyFill="1" applyBorder="1" applyAlignment="1" applyProtection="1">
      <alignment horizontal="center"/>
      <protection locked="0"/>
    </xf>
    <xf numFmtId="9" fontId="33" fillId="40" borderId="53" xfId="0" applyNumberFormat="1" applyFont="1" applyFill="1" applyBorder="1" applyAlignment="1" applyProtection="1">
      <alignment horizontal="center"/>
      <protection locked="0"/>
    </xf>
    <xf numFmtId="5" fontId="24" fillId="0" borderId="53" xfId="0" applyNumberFormat="1" applyFont="1" applyBorder="1" applyAlignment="1" applyProtection="1">
      <alignment horizontal="right" vertical="center"/>
      <protection locked="0"/>
    </xf>
    <xf numFmtId="5" fontId="24" fillId="40" borderId="53" xfId="0" applyNumberFormat="1" applyFont="1" applyFill="1" applyBorder="1" applyAlignment="1" applyProtection="1">
      <alignment horizontal="right"/>
      <protection locked="0"/>
    </xf>
    <xf numFmtId="0" fontId="24" fillId="0" borderId="53" xfId="0" applyFont="1" applyBorder="1" applyAlignment="1" applyProtection="1">
      <alignment horizontal="center"/>
      <protection locked="0"/>
    </xf>
    <xf numFmtId="5" fontId="24" fillId="0" borderId="53" xfId="0" applyNumberFormat="1" applyFont="1" applyBorder="1" applyAlignment="1" applyProtection="1">
      <alignment horizontal="right"/>
      <protection locked="0"/>
    </xf>
    <xf numFmtId="0" fontId="33" fillId="40" borderId="0" xfId="0" applyFont="1" applyFill="1" applyAlignment="1" applyProtection="1">
      <alignment horizontal="left"/>
      <protection locked="0"/>
    </xf>
    <xf numFmtId="0" fontId="33" fillId="40" borderId="0" xfId="0" applyFont="1" applyFill="1" applyAlignment="1" applyProtection="1">
      <alignment horizontal="center" vertical="center"/>
      <protection locked="0"/>
    </xf>
    <xf numFmtId="49" fontId="33" fillId="40" borderId="0" xfId="0" applyNumberFormat="1" applyFont="1" applyFill="1" applyAlignment="1" applyProtection="1">
      <alignment horizontal="center"/>
      <protection locked="0"/>
    </xf>
    <xf numFmtId="0" fontId="34" fillId="41" borderId="41" xfId="0" applyFont="1" applyFill="1" applyBorder="1" applyAlignment="1" applyProtection="1">
      <alignment horizontal="center"/>
      <protection locked="0"/>
    </xf>
    <xf numFmtId="5" fontId="34" fillId="41" borderId="42" xfId="0" applyNumberFormat="1" applyFont="1" applyFill="1" applyBorder="1" applyAlignment="1" applyProtection="1">
      <alignment horizontal="right"/>
      <protection locked="0"/>
    </xf>
    <xf numFmtId="0" fontId="33" fillId="40" borderId="0" xfId="0" applyFont="1" applyFill="1" applyAlignment="1" applyProtection="1">
      <alignment horizontal="right"/>
      <protection locked="0"/>
    </xf>
    <xf numFmtId="3" fontId="33" fillId="40" borderId="0" xfId="0" applyNumberFormat="1" applyFont="1" applyFill="1" applyAlignment="1" applyProtection="1">
      <alignment horizontal="right"/>
      <protection locked="0"/>
    </xf>
    <xf numFmtId="0" fontId="24" fillId="0" borderId="43" xfId="0" applyFont="1" applyBorder="1" applyAlignment="1" applyProtection="1">
      <alignment horizontal="center" vertical="center"/>
      <protection locked="0"/>
    </xf>
    <xf numFmtId="0" fontId="27" fillId="3" borderId="2" xfId="0" applyFont="1" applyFill="1" applyBorder="1" applyAlignment="1">
      <alignment horizontal="center"/>
    </xf>
    <xf numFmtId="0" fontId="27" fillId="3" borderId="3" xfId="0" applyFont="1" applyFill="1" applyBorder="1" applyAlignment="1">
      <alignment horizontal="center"/>
    </xf>
    <xf numFmtId="0" fontId="27" fillId="3" borderId="4" xfId="0" applyFont="1" applyFill="1" applyBorder="1" applyAlignment="1">
      <alignment horizontal="center"/>
    </xf>
    <xf numFmtId="0" fontId="24" fillId="33" borderId="14" xfId="0" applyFont="1" applyFill="1" applyBorder="1" applyAlignment="1" applyProtection="1">
      <alignment horizontal="center"/>
      <protection locked="0"/>
    </xf>
    <xf numFmtId="0" fontId="24" fillId="33" borderId="16" xfId="0" applyFont="1" applyFill="1" applyBorder="1" applyAlignment="1" applyProtection="1">
      <alignment horizontal="center"/>
      <protection locked="0"/>
    </xf>
    <xf numFmtId="0" fontId="24" fillId="33" borderId="17" xfId="0" applyFont="1" applyFill="1" applyBorder="1" applyAlignment="1" applyProtection="1">
      <alignment horizontal="center"/>
      <protection locked="0"/>
    </xf>
    <xf numFmtId="0" fontId="26" fillId="26" borderId="18" xfId="0" applyFont="1" applyFill="1" applyBorder="1" applyAlignment="1" applyProtection="1">
      <alignment horizontal="center"/>
      <protection locked="0"/>
    </xf>
    <xf numFmtId="0" fontId="26" fillId="26" borderId="16" xfId="0" applyFont="1" applyFill="1" applyBorder="1" applyAlignment="1" applyProtection="1">
      <alignment horizontal="center"/>
      <protection locked="0"/>
    </xf>
    <xf numFmtId="0" fontId="26" fillId="26" borderId="17" xfId="0" applyFont="1" applyFill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27" fillId="27" borderId="23" xfId="0" applyFont="1" applyFill="1" applyBorder="1" applyAlignment="1">
      <alignment horizontal="center"/>
    </xf>
    <xf numFmtId="0" fontId="27" fillId="27" borderId="24" xfId="0" applyFont="1" applyFill="1" applyBorder="1" applyAlignment="1">
      <alignment horizontal="center"/>
    </xf>
    <xf numFmtId="0" fontId="27" fillId="27" borderId="25" xfId="0" applyFont="1" applyFill="1" applyBorder="1" applyAlignment="1">
      <alignment horizontal="center"/>
    </xf>
    <xf numFmtId="0" fontId="28" fillId="28" borderId="22" xfId="0" applyFont="1" applyFill="1" applyBorder="1" applyAlignment="1">
      <alignment horizontal="center"/>
    </xf>
    <xf numFmtId="0" fontId="27" fillId="29" borderId="22" xfId="0" applyFont="1" applyFill="1" applyBorder="1" applyAlignment="1">
      <alignment horizontal="center"/>
    </xf>
    <xf numFmtId="0" fontId="27" fillId="30" borderId="22" xfId="0" applyFont="1" applyFill="1" applyBorder="1" applyAlignment="1">
      <alignment horizontal="center"/>
    </xf>
    <xf numFmtId="0" fontId="27" fillId="30" borderId="23" xfId="0" applyFont="1" applyFill="1" applyBorder="1" applyAlignment="1">
      <alignment horizontal="center"/>
    </xf>
    <xf numFmtId="0" fontId="28" fillId="31" borderId="26" xfId="0" applyFont="1" applyFill="1" applyBorder="1" applyAlignment="1">
      <alignment horizontal="center"/>
    </xf>
    <xf numFmtId="0" fontId="28" fillId="31" borderId="27" xfId="0" applyFont="1" applyFill="1" applyBorder="1" applyAlignment="1">
      <alignment horizontal="center"/>
    </xf>
    <xf numFmtId="0" fontId="28" fillId="31" borderId="28" xfId="0" applyFont="1" applyFill="1" applyBorder="1" applyAlignment="1">
      <alignment horizontal="center"/>
    </xf>
    <xf numFmtId="0" fontId="28" fillId="28" borderId="25" xfId="0" applyFont="1" applyFill="1" applyBorder="1" applyAlignment="1">
      <alignment horizontal="center"/>
    </xf>
    <xf numFmtId="0" fontId="28" fillId="28" borderId="23" xfId="0" applyFont="1" applyFill="1" applyBorder="1" applyAlignment="1">
      <alignment horizontal="center"/>
    </xf>
    <xf numFmtId="0" fontId="28" fillId="32" borderId="14" xfId="0" applyFont="1" applyFill="1" applyBorder="1" applyAlignment="1">
      <alignment horizontal="center"/>
    </xf>
    <xf numFmtId="0" fontId="28" fillId="32" borderId="16" xfId="0" applyFont="1" applyFill="1" applyBorder="1" applyAlignment="1">
      <alignment horizontal="center"/>
    </xf>
    <xf numFmtId="0" fontId="28" fillId="32" borderId="17" xfId="0" applyFont="1" applyFill="1" applyBorder="1" applyAlignment="1">
      <alignment horizontal="center"/>
    </xf>
  </cellXfs>
  <cellStyles count="322">
    <cellStyle name="20% - Accent1 2" xfId="62" xr:uid="{00000000-0005-0000-0000-000000000000}"/>
    <cellStyle name="20% - Accent1 3" xfId="63" xr:uid="{00000000-0005-0000-0000-000001000000}"/>
    <cellStyle name="20% - Accent1 4" xfId="64" xr:uid="{00000000-0005-0000-0000-000002000000}"/>
    <cellStyle name="20% - Accent1 5" xfId="65" xr:uid="{00000000-0005-0000-0000-000003000000}"/>
    <cellStyle name="20% - Accent1 6" xfId="66" xr:uid="{00000000-0005-0000-0000-000004000000}"/>
    <cellStyle name="20% - Accent1 7" xfId="67" xr:uid="{00000000-0005-0000-0000-000005000000}"/>
    <cellStyle name="20% - Accent2 2" xfId="68" xr:uid="{00000000-0005-0000-0000-000006000000}"/>
    <cellStyle name="20% - Accent2 3" xfId="69" xr:uid="{00000000-0005-0000-0000-000007000000}"/>
    <cellStyle name="20% - Accent2 4" xfId="70" xr:uid="{00000000-0005-0000-0000-000008000000}"/>
    <cellStyle name="20% - Accent2 5" xfId="71" xr:uid="{00000000-0005-0000-0000-000009000000}"/>
    <cellStyle name="20% - Accent2 6" xfId="72" xr:uid="{00000000-0005-0000-0000-00000A000000}"/>
    <cellStyle name="20% - Accent2 7" xfId="73" xr:uid="{00000000-0005-0000-0000-00000B000000}"/>
    <cellStyle name="20% - Accent3 2" xfId="74" xr:uid="{00000000-0005-0000-0000-00000C000000}"/>
    <cellStyle name="20% - Accent3 3" xfId="75" xr:uid="{00000000-0005-0000-0000-00000D000000}"/>
    <cellStyle name="20% - Accent3 4" xfId="76" xr:uid="{00000000-0005-0000-0000-00000E000000}"/>
    <cellStyle name="20% - Accent3 5" xfId="77" xr:uid="{00000000-0005-0000-0000-00000F000000}"/>
    <cellStyle name="20% - Accent3 6" xfId="78" xr:uid="{00000000-0005-0000-0000-000010000000}"/>
    <cellStyle name="20% - Accent3 7" xfId="79" xr:uid="{00000000-0005-0000-0000-000011000000}"/>
    <cellStyle name="20% - Accent4 2" xfId="80" xr:uid="{00000000-0005-0000-0000-000012000000}"/>
    <cellStyle name="20% - Accent4 3" xfId="81" xr:uid="{00000000-0005-0000-0000-000013000000}"/>
    <cellStyle name="20% - Accent4 4" xfId="82" xr:uid="{00000000-0005-0000-0000-000014000000}"/>
    <cellStyle name="20% - Accent4 5" xfId="83" xr:uid="{00000000-0005-0000-0000-000015000000}"/>
    <cellStyle name="20% - Accent4 6" xfId="84" xr:uid="{00000000-0005-0000-0000-000016000000}"/>
    <cellStyle name="20% - Accent4 7" xfId="85" xr:uid="{00000000-0005-0000-0000-000017000000}"/>
    <cellStyle name="20% - Accent5 2" xfId="86" xr:uid="{00000000-0005-0000-0000-000018000000}"/>
    <cellStyle name="20% - Accent5 3" xfId="87" xr:uid="{00000000-0005-0000-0000-000019000000}"/>
    <cellStyle name="20% - Accent5 4" xfId="88" xr:uid="{00000000-0005-0000-0000-00001A000000}"/>
    <cellStyle name="20% - Accent5 5" xfId="89" xr:uid="{00000000-0005-0000-0000-00001B000000}"/>
    <cellStyle name="20% - Accent5 6" xfId="90" xr:uid="{00000000-0005-0000-0000-00001C000000}"/>
    <cellStyle name="20% - Accent5 7" xfId="91" xr:uid="{00000000-0005-0000-0000-00001D000000}"/>
    <cellStyle name="20% - Accent6 2" xfId="92" xr:uid="{00000000-0005-0000-0000-00001E000000}"/>
    <cellStyle name="20% - Accent6 3" xfId="93" xr:uid="{00000000-0005-0000-0000-00001F000000}"/>
    <cellStyle name="20% - Accent6 4" xfId="94" xr:uid="{00000000-0005-0000-0000-000020000000}"/>
    <cellStyle name="20% - Accent6 5" xfId="95" xr:uid="{00000000-0005-0000-0000-000021000000}"/>
    <cellStyle name="20% - Accent6 6" xfId="96" xr:uid="{00000000-0005-0000-0000-000022000000}"/>
    <cellStyle name="20% - Accent6 7" xfId="97" xr:uid="{00000000-0005-0000-0000-000023000000}"/>
    <cellStyle name="40% - Accent1 2" xfId="98" xr:uid="{00000000-0005-0000-0000-000024000000}"/>
    <cellStyle name="40% - Accent1 3" xfId="99" xr:uid="{00000000-0005-0000-0000-000025000000}"/>
    <cellStyle name="40% - Accent1 4" xfId="100" xr:uid="{00000000-0005-0000-0000-000026000000}"/>
    <cellStyle name="40% - Accent1 5" xfId="101" xr:uid="{00000000-0005-0000-0000-000027000000}"/>
    <cellStyle name="40% - Accent1 6" xfId="102" xr:uid="{00000000-0005-0000-0000-000028000000}"/>
    <cellStyle name="40% - Accent1 7" xfId="103" xr:uid="{00000000-0005-0000-0000-000029000000}"/>
    <cellStyle name="40% - Accent2 2" xfId="104" xr:uid="{00000000-0005-0000-0000-00002A000000}"/>
    <cellStyle name="40% - Accent2 3" xfId="105" xr:uid="{00000000-0005-0000-0000-00002B000000}"/>
    <cellStyle name="40% - Accent2 4" xfId="106" xr:uid="{00000000-0005-0000-0000-00002C000000}"/>
    <cellStyle name="40% - Accent2 5" xfId="107" xr:uid="{00000000-0005-0000-0000-00002D000000}"/>
    <cellStyle name="40% - Accent2 6" xfId="108" xr:uid="{00000000-0005-0000-0000-00002E000000}"/>
    <cellStyle name="40% - Accent2 7" xfId="109" xr:uid="{00000000-0005-0000-0000-00002F000000}"/>
    <cellStyle name="40% - Accent3 2" xfId="110" xr:uid="{00000000-0005-0000-0000-000030000000}"/>
    <cellStyle name="40% - Accent3 3" xfId="111" xr:uid="{00000000-0005-0000-0000-000031000000}"/>
    <cellStyle name="40% - Accent3 4" xfId="112" xr:uid="{00000000-0005-0000-0000-000032000000}"/>
    <cellStyle name="40% - Accent3 5" xfId="113" xr:uid="{00000000-0005-0000-0000-000033000000}"/>
    <cellStyle name="40% - Accent3 6" xfId="114" xr:uid="{00000000-0005-0000-0000-000034000000}"/>
    <cellStyle name="40% - Accent3 7" xfId="115" xr:uid="{00000000-0005-0000-0000-000035000000}"/>
    <cellStyle name="40% - Accent4 2" xfId="116" xr:uid="{00000000-0005-0000-0000-000036000000}"/>
    <cellStyle name="40% - Accent4 3" xfId="117" xr:uid="{00000000-0005-0000-0000-000037000000}"/>
    <cellStyle name="40% - Accent4 4" xfId="118" xr:uid="{00000000-0005-0000-0000-000038000000}"/>
    <cellStyle name="40% - Accent4 5" xfId="119" xr:uid="{00000000-0005-0000-0000-000039000000}"/>
    <cellStyle name="40% - Accent4 6" xfId="120" xr:uid="{00000000-0005-0000-0000-00003A000000}"/>
    <cellStyle name="40% - Accent4 7" xfId="121" xr:uid="{00000000-0005-0000-0000-00003B000000}"/>
    <cellStyle name="40% - Accent5 2" xfId="122" xr:uid="{00000000-0005-0000-0000-00003C000000}"/>
    <cellStyle name="40% - Accent5 3" xfId="123" xr:uid="{00000000-0005-0000-0000-00003D000000}"/>
    <cellStyle name="40% - Accent5 4" xfId="124" xr:uid="{00000000-0005-0000-0000-00003E000000}"/>
    <cellStyle name="40% - Accent5 5" xfId="125" xr:uid="{00000000-0005-0000-0000-00003F000000}"/>
    <cellStyle name="40% - Accent5 6" xfId="126" xr:uid="{00000000-0005-0000-0000-000040000000}"/>
    <cellStyle name="40% - Accent5 7" xfId="127" xr:uid="{00000000-0005-0000-0000-000041000000}"/>
    <cellStyle name="40% - Accent6 2" xfId="128" xr:uid="{00000000-0005-0000-0000-000042000000}"/>
    <cellStyle name="40% - Accent6 3" xfId="129" xr:uid="{00000000-0005-0000-0000-000043000000}"/>
    <cellStyle name="40% - Accent6 4" xfId="130" xr:uid="{00000000-0005-0000-0000-000044000000}"/>
    <cellStyle name="40% - Accent6 5" xfId="131" xr:uid="{00000000-0005-0000-0000-000045000000}"/>
    <cellStyle name="40% - Accent6 6" xfId="132" xr:uid="{00000000-0005-0000-0000-000046000000}"/>
    <cellStyle name="40% - Accent6 7" xfId="133" xr:uid="{00000000-0005-0000-0000-000047000000}"/>
    <cellStyle name="60% - Accent1 2" xfId="134" xr:uid="{00000000-0005-0000-0000-000048000000}"/>
    <cellStyle name="60% - Accent1 3" xfId="135" xr:uid="{00000000-0005-0000-0000-000049000000}"/>
    <cellStyle name="60% - Accent1 4" xfId="136" xr:uid="{00000000-0005-0000-0000-00004A000000}"/>
    <cellStyle name="60% - Accent1 5" xfId="137" xr:uid="{00000000-0005-0000-0000-00004B000000}"/>
    <cellStyle name="60% - Accent1 6" xfId="138" xr:uid="{00000000-0005-0000-0000-00004C000000}"/>
    <cellStyle name="60% - Accent1 7" xfId="139" xr:uid="{00000000-0005-0000-0000-00004D000000}"/>
    <cellStyle name="60% - Accent2 2" xfId="140" xr:uid="{00000000-0005-0000-0000-00004E000000}"/>
    <cellStyle name="60% - Accent2 3" xfId="141" xr:uid="{00000000-0005-0000-0000-00004F000000}"/>
    <cellStyle name="60% - Accent2 4" xfId="142" xr:uid="{00000000-0005-0000-0000-000050000000}"/>
    <cellStyle name="60% - Accent2 5" xfId="143" xr:uid="{00000000-0005-0000-0000-000051000000}"/>
    <cellStyle name="60% - Accent2 6" xfId="144" xr:uid="{00000000-0005-0000-0000-000052000000}"/>
    <cellStyle name="60% - Accent2 7" xfId="145" xr:uid="{00000000-0005-0000-0000-000053000000}"/>
    <cellStyle name="60% - Accent3 2" xfId="146" xr:uid="{00000000-0005-0000-0000-000054000000}"/>
    <cellStyle name="60% - Accent3 3" xfId="147" xr:uid="{00000000-0005-0000-0000-000055000000}"/>
    <cellStyle name="60% - Accent3 4" xfId="148" xr:uid="{00000000-0005-0000-0000-000056000000}"/>
    <cellStyle name="60% - Accent3 5" xfId="149" xr:uid="{00000000-0005-0000-0000-000057000000}"/>
    <cellStyle name="60% - Accent3 6" xfId="150" xr:uid="{00000000-0005-0000-0000-000058000000}"/>
    <cellStyle name="60% - Accent3 7" xfId="151" xr:uid="{00000000-0005-0000-0000-000059000000}"/>
    <cellStyle name="60% - Accent4 2" xfId="152" xr:uid="{00000000-0005-0000-0000-00005A000000}"/>
    <cellStyle name="60% - Accent4 3" xfId="153" xr:uid="{00000000-0005-0000-0000-00005B000000}"/>
    <cellStyle name="60% - Accent4 4" xfId="154" xr:uid="{00000000-0005-0000-0000-00005C000000}"/>
    <cellStyle name="60% - Accent4 5" xfId="155" xr:uid="{00000000-0005-0000-0000-00005D000000}"/>
    <cellStyle name="60% - Accent4 6" xfId="156" xr:uid="{00000000-0005-0000-0000-00005E000000}"/>
    <cellStyle name="60% - Accent4 7" xfId="157" xr:uid="{00000000-0005-0000-0000-00005F000000}"/>
    <cellStyle name="60% - Accent5 2" xfId="158" xr:uid="{00000000-0005-0000-0000-000060000000}"/>
    <cellStyle name="60% - Accent5 3" xfId="159" xr:uid="{00000000-0005-0000-0000-000061000000}"/>
    <cellStyle name="60% - Accent5 4" xfId="160" xr:uid="{00000000-0005-0000-0000-000062000000}"/>
    <cellStyle name="60% - Accent5 5" xfId="161" xr:uid="{00000000-0005-0000-0000-000063000000}"/>
    <cellStyle name="60% - Accent5 6" xfId="162" xr:uid="{00000000-0005-0000-0000-000064000000}"/>
    <cellStyle name="60% - Accent5 7" xfId="163" xr:uid="{00000000-0005-0000-0000-000065000000}"/>
    <cellStyle name="60% - Accent6 2" xfId="164" xr:uid="{00000000-0005-0000-0000-000066000000}"/>
    <cellStyle name="60% - Accent6 3" xfId="165" xr:uid="{00000000-0005-0000-0000-000067000000}"/>
    <cellStyle name="60% - Accent6 4" xfId="166" xr:uid="{00000000-0005-0000-0000-000068000000}"/>
    <cellStyle name="60% - Accent6 5" xfId="167" xr:uid="{00000000-0005-0000-0000-000069000000}"/>
    <cellStyle name="60% - Accent6 6" xfId="168" xr:uid="{00000000-0005-0000-0000-00006A000000}"/>
    <cellStyle name="60% - Accent6 7" xfId="169" xr:uid="{00000000-0005-0000-0000-00006B000000}"/>
    <cellStyle name="Accent1 2" xfId="170" xr:uid="{00000000-0005-0000-0000-00006C000000}"/>
    <cellStyle name="Accent1 3" xfId="171" xr:uid="{00000000-0005-0000-0000-00006D000000}"/>
    <cellStyle name="Accent1 4" xfId="172" xr:uid="{00000000-0005-0000-0000-00006E000000}"/>
    <cellStyle name="Accent1 5" xfId="173" xr:uid="{00000000-0005-0000-0000-00006F000000}"/>
    <cellStyle name="Accent1 6" xfId="174" xr:uid="{00000000-0005-0000-0000-000070000000}"/>
    <cellStyle name="Accent1 7" xfId="175" xr:uid="{00000000-0005-0000-0000-000071000000}"/>
    <cellStyle name="Accent2 2" xfId="176" xr:uid="{00000000-0005-0000-0000-000072000000}"/>
    <cellStyle name="Accent2 3" xfId="177" xr:uid="{00000000-0005-0000-0000-000073000000}"/>
    <cellStyle name="Accent2 4" xfId="178" xr:uid="{00000000-0005-0000-0000-000074000000}"/>
    <cellStyle name="Accent2 5" xfId="179" xr:uid="{00000000-0005-0000-0000-000075000000}"/>
    <cellStyle name="Accent2 6" xfId="180" xr:uid="{00000000-0005-0000-0000-000076000000}"/>
    <cellStyle name="Accent2 7" xfId="181" xr:uid="{00000000-0005-0000-0000-000077000000}"/>
    <cellStyle name="Accent3 2" xfId="182" xr:uid="{00000000-0005-0000-0000-000078000000}"/>
    <cellStyle name="Accent3 3" xfId="183" xr:uid="{00000000-0005-0000-0000-000079000000}"/>
    <cellStyle name="Accent3 4" xfId="184" xr:uid="{00000000-0005-0000-0000-00007A000000}"/>
    <cellStyle name="Accent3 5" xfId="185" xr:uid="{00000000-0005-0000-0000-00007B000000}"/>
    <cellStyle name="Accent3 6" xfId="186" xr:uid="{00000000-0005-0000-0000-00007C000000}"/>
    <cellStyle name="Accent3 7" xfId="187" xr:uid="{00000000-0005-0000-0000-00007D000000}"/>
    <cellStyle name="Accent4 2" xfId="188" xr:uid="{00000000-0005-0000-0000-00007E000000}"/>
    <cellStyle name="Accent4 3" xfId="189" xr:uid="{00000000-0005-0000-0000-00007F000000}"/>
    <cellStyle name="Accent4 4" xfId="190" xr:uid="{00000000-0005-0000-0000-000080000000}"/>
    <cellStyle name="Accent4 5" xfId="191" xr:uid="{00000000-0005-0000-0000-000081000000}"/>
    <cellStyle name="Accent4 6" xfId="192" xr:uid="{00000000-0005-0000-0000-000082000000}"/>
    <cellStyle name="Accent4 7" xfId="193" xr:uid="{00000000-0005-0000-0000-000083000000}"/>
    <cellStyle name="Accent5 2" xfId="194" xr:uid="{00000000-0005-0000-0000-000084000000}"/>
    <cellStyle name="Accent5 3" xfId="195" xr:uid="{00000000-0005-0000-0000-000085000000}"/>
    <cellStyle name="Accent5 4" xfId="196" xr:uid="{00000000-0005-0000-0000-000086000000}"/>
    <cellStyle name="Accent5 5" xfId="197" xr:uid="{00000000-0005-0000-0000-000087000000}"/>
    <cellStyle name="Accent5 6" xfId="198" xr:uid="{00000000-0005-0000-0000-000088000000}"/>
    <cellStyle name="Accent5 7" xfId="199" xr:uid="{00000000-0005-0000-0000-000089000000}"/>
    <cellStyle name="Accent6 2" xfId="200" xr:uid="{00000000-0005-0000-0000-00008A000000}"/>
    <cellStyle name="Accent6 3" xfId="201" xr:uid="{00000000-0005-0000-0000-00008B000000}"/>
    <cellStyle name="Accent6 4" xfId="202" xr:uid="{00000000-0005-0000-0000-00008C000000}"/>
    <cellStyle name="Accent6 5" xfId="203" xr:uid="{00000000-0005-0000-0000-00008D000000}"/>
    <cellStyle name="Accent6 6" xfId="204" xr:uid="{00000000-0005-0000-0000-00008E000000}"/>
    <cellStyle name="Accent6 7" xfId="205" xr:uid="{00000000-0005-0000-0000-00008F000000}"/>
    <cellStyle name="Bad 2" xfId="206" xr:uid="{00000000-0005-0000-0000-000090000000}"/>
    <cellStyle name="Bad 3" xfId="207" xr:uid="{00000000-0005-0000-0000-000091000000}"/>
    <cellStyle name="Bad 4" xfId="208" xr:uid="{00000000-0005-0000-0000-000092000000}"/>
    <cellStyle name="Bad 5" xfId="209" xr:uid="{00000000-0005-0000-0000-000093000000}"/>
    <cellStyle name="Bad 6" xfId="210" xr:uid="{00000000-0005-0000-0000-000094000000}"/>
    <cellStyle name="Bad 7" xfId="211" xr:uid="{00000000-0005-0000-0000-000095000000}"/>
    <cellStyle name="Calculation 2" xfId="212" xr:uid="{00000000-0005-0000-0000-000096000000}"/>
    <cellStyle name="Calculation 3" xfId="213" xr:uid="{00000000-0005-0000-0000-000097000000}"/>
    <cellStyle name="Calculation 4" xfId="214" xr:uid="{00000000-0005-0000-0000-000098000000}"/>
    <cellStyle name="Calculation 5" xfId="215" xr:uid="{00000000-0005-0000-0000-000099000000}"/>
    <cellStyle name="Calculation 6" xfId="216" xr:uid="{00000000-0005-0000-0000-00009A000000}"/>
    <cellStyle name="Calculation 7" xfId="217" xr:uid="{00000000-0005-0000-0000-00009B000000}"/>
    <cellStyle name="Check Cell 2" xfId="218" xr:uid="{00000000-0005-0000-0000-00009C000000}"/>
    <cellStyle name="Check Cell 3" xfId="219" xr:uid="{00000000-0005-0000-0000-00009D000000}"/>
    <cellStyle name="Check Cell 4" xfId="220" xr:uid="{00000000-0005-0000-0000-00009E000000}"/>
    <cellStyle name="Check Cell 5" xfId="221" xr:uid="{00000000-0005-0000-0000-00009F000000}"/>
    <cellStyle name="Check Cell 6" xfId="222" xr:uid="{00000000-0005-0000-0000-0000A0000000}"/>
    <cellStyle name="Check Cell 7" xfId="223" xr:uid="{00000000-0005-0000-0000-0000A1000000}"/>
    <cellStyle name="Comma 2" xfId="4" xr:uid="{00000000-0005-0000-0000-0000A2000000}"/>
    <cellStyle name="Comma 2 2" xfId="5" xr:uid="{00000000-0005-0000-0000-0000A3000000}"/>
    <cellStyle name="Comma 3" xfId="6" xr:uid="{00000000-0005-0000-0000-0000A4000000}"/>
    <cellStyle name="Comma 3 2" xfId="7" xr:uid="{00000000-0005-0000-0000-0000A5000000}"/>
    <cellStyle name="Comma 4" xfId="61" xr:uid="{00000000-0005-0000-0000-0000A6000000}"/>
    <cellStyle name="Comma 5" xfId="224" xr:uid="{00000000-0005-0000-0000-0000A7000000}"/>
    <cellStyle name="Comma 6" xfId="225" xr:uid="{00000000-0005-0000-0000-0000A8000000}"/>
    <cellStyle name="Comma 7" xfId="226" xr:uid="{00000000-0005-0000-0000-0000A9000000}"/>
    <cellStyle name="Currency 2" xfId="8" xr:uid="{00000000-0005-0000-0000-0000AB000000}"/>
    <cellStyle name="Currency 2 2" xfId="9" xr:uid="{00000000-0005-0000-0000-0000AC000000}"/>
    <cellStyle name="Currency 3" xfId="10" xr:uid="{00000000-0005-0000-0000-0000AD000000}"/>
    <cellStyle name="Currency 3 2" xfId="11" xr:uid="{00000000-0005-0000-0000-0000AE000000}"/>
    <cellStyle name="Currency 4" xfId="227" xr:uid="{00000000-0005-0000-0000-0000AF000000}"/>
    <cellStyle name="Currency 5" xfId="228" xr:uid="{00000000-0005-0000-0000-0000B0000000}"/>
    <cellStyle name="Currency 6" xfId="229" xr:uid="{00000000-0005-0000-0000-0000B1000000}"/>
    <cellStyle name="Currency 7" xfId="230" xr:uid="{00000000-0005-0000-0000-0000B2000000}"/>
    <cellStyle name="Explanatory Text 2" xfId="231" xr:uid="{00000000-0005-0000-0000-0000B3000000}"/>
    <cellStyle name="Explanatory Text 3" xfId="232" xr:uid="{00000000-0005-0000-0000-0000B4000000}"/>
    <cellStyle name="Explanatory Text 4" xfId="233" xr:uid="{00000000-0005-0000-0000-0000B5000000}"/>
    <cellStyle name="Explanatory Text 5" xfId="234" xr:uid="{00000000-0005-0000-0000-0000B6000000}"/>
    <cellStyle name="Explanatory Text 6" xfId="235" xr:uid="{00000000-0005-0000-0000-0000B7000000}"/>
    <cellStyle name="Explanatory Text 7" xfId="236" xr:uid="{00000000-0005-0000-0000-0000B8000000}"/>
    <cellStyle name="Good 2" xfId="237" xr:uid="{00000000-0005-0000-0000-0000B9000000}"/>
    <cellStyle name="Good 3" xfId="238" xr:uid="{00000000-0005-0000-0000-0000BA000000}"/>
    <cellStyle name="Good 4" xfId="239" xr:uid="{00000000-0005-0000-0000-0000BB000000}"/>
    <cellStyle name="Good 5" xfId="240" xr:uid="{00000000-0005-0000-0000-0000BC000000}"/>
    <cellStyle name="Good 6" xfId="241" xr:uid="{00000000-0005-0000-0000-0000BD000000}"/>
    <cellStyle name="Good 7" xfId="242" xr:uid="{00000000-0005-0000-0000-0000BE000000}"/>
    <cellStyle name="Heading 1 2" xfId="243" xr:uid="{00000000-0005-0000-0000-0000BF000000}"/>
    <cellStyle name="Heading 1 3" xfId="244" xr:uid="{00000000-0005-0000-0000-0000C0000000}"/>
    <cellStyle name="Heading 1 4" xfId="245" xr:uid="{00000000-0005-0000-0000-0000C1000000}"/>
    <cellStyle name="Heading 1 5" xfId="246" xr:uid="{00000000-0005-0000-0000-0000C2000000}"/>
    <cellStyle name="Heading 1 6" xfId="247" xr:uid="{00000000-0005-0000-0000-0000C3000000}"/>
    <cellStyle name="Heading 1 7" xfId="248" xr:uid="{00000000-0005-0000-0000-0000C4000000}"/>
    <cellStyle name="Heading 2 2" xfId="249" xr:uid="{00000000-0005-0000-0000-0000C5000000}"/>
    <cellStyle name="Heading 2 3" xfId="250" xr:uid="{00000000-0005-0000-0000-0000C6000000}"/>
    <cellStyle name="Heading 2 4" xfId="251" xr:uid="{00000000-0005-0000-0000-0000C7000000}"/>
    <cellStyle name="Heading 2 5" xfId="252" xr:uid="{00000000-0005-0000-0000-0000C8000000}"/>
    <cellStyle name="Heading 2 6" xfId="253" xr:uid="{00000000-0005-0000-0000-0000C9000000}"/>
    <cellStyle name="Heading 2 7" xfId="254" xr:uid="{00000000-0005-0000-0000-0000CA000000}"/>
    <cellStyle name="Heading 3 2" xfId="255" xr:uid="{00000000-0005-0000-0000-0000CB000000}"/>
    <cellStyle name="Heading 3 3" xfId="256" xr:uid="{00000000-0005-0000-0000-0000CC000000}"/>
    <cellStyle name="Heading 3 4" xfId="257" xr:uid="{00000000-0005-0000-0000-0000CD000000}"/>
    <cellStyle name="Heading 3 5" xfId="258" xr:uid="{00000000-0005-0000-0000-0000CE000000}"/>
    <cellStyle name="Heading 3 6" xfId="259" xr:uid="{00000000-0005-0000-0000-0000CF000000}"/>
    <cellStyle name="Heading 3 7" xfId="260" xr:uid="{00000000-0005-0000-0000-0000D0000000}"/>
    <cellStyle name="Heading 4 2" xfId="261" xr:uid="{00000000-0005-0000-0000-0000D1000000}"/>
    <cellStyle name="Heading 4 3" xfId="262" xr:uid="{00000000-0005-0000-0000-0000D2000000}"/>
    <cellStyle name="Heading 4 4" xfId="263" xr:uid="{00000000-0005-0000-0000-0000D3000000}"/>
    <cellStyle name="Heading 4 5" xfId="264" xr:uid="{00000000-0005-0000-0000-0000D4000000}"/>
    <cellStyle name="Heading 4 6" xfId="265" xr:uid="{00000000-0005-0000-0000-0000D5000000}"/>
    <cellStyle name="Heading 4 7" xfId="266" xr:uid="{00000000-0005-0000-0000-0000D6000000}"/>
    <cellStyle name="Input 2" xfId="267" xr:uid="{00000000-0005-0000-0000-0000D8000000}"/>
    <cellStyle name="Input 3" xfId="268" xr:uid="{00000000-0005-0000-0000-0000D9000000}"/>
    <cellStyle name="Input 4" xfId="269" xr:uid="{00000000-0005-0000-0000-0000DA000000}"/>
    <cellStyle name="Input 5" xfId="270" xr:uid="{00000000-0005-0000-0000-0000DB000000}"/>
    <cellStyle name="Input 6" xfId="271" xr:uid="{00000000-0005-0000-0000-0000DC000000}"/>
    <cellStyle name="Input 7" xfId="272" xr:uid="{00000000-0005-0000-0000-0000DD000000}"/>
    <cellStyle name="Linked Cell 2" xfId="273" xr:uid="{00000000-0005-0000-0000-0000DE000000}"/>
    <cellStyle name="Linked Cell 3" xfId="274" xr:uid="{00000000-0005-0000-0000-0000DF000000}"/>
    <cellStyle name="Linked Cell 4" xfId="275" xr:uid="{00000000-0005-0000-0000-0000E0000000}"/>
    <cellStyle name="Linked Cell 5" xfId="276" xr:uid="{00000000-0005-0000-0000-0000E1000000}"/>
    <cellStyle name="Linked Cell 6" xfId="277" xr:uid="{00000000-0005-0000-0000-0000E2000000}"/>
    <cellStyle name="Linked Cell 7" xfId="278" xr:uid="{00000000-0005-0000-0000-0000E3000000}"/>
    <cellStyle name="Neutral 2" xfId="279" xr:uid="{00000000-0005-0000-0000-0000E4000000}"/>
    <cellStyle name="Neutral 3" xfId="280" xr:uid="{00000000-0005-0000-0000-0000E5000000}"/>
    <cellStyle name="Neutral 4" xfId="281" xr:uid="{00000000-0005-0000-0000-0000E6000000}"/>
    <cellStyle name="Neutral 5" xfId="282" xr:uid="{00000000-0005-0000-0000-0000E7000000}"/>
    <cellStyle name="Neutral 6" xfId="283" xr:uid="{00000000-0005-0000-0000-0000E8000000}"/>
    <cellStyle name="Neutral 7" xfId="284" xr:uid="{00000000-0005-0000-0000-0000E9000000}"/>
    <cellStyle name="Normal" xfId="0" builtinId="0"/>
    <cellStyle name="Normal 10" xfId="321" xr:uid="{00000000-0005-0000-0000-0000EB000000}"/>
    <cellStyle name="Normal 2" xfId="1" xr:uid="{00000000-0005-0000-0000-0000EC000000}"/>
    <cellStyle name="Normal 2 2" xfId="12" xr:uid="{00000000-0005-0000-0000-0000ED000000}"/>
    <cellStyle name="Normal 2 2 2" xfId="13" xr:uid="{00000000-0005-0000-0000-0000EE000000}"/>
    <cellStyle name="Normal 2 2 2 2" xfId="14" xr:uid="{00000000-0005-0000-0000-0000EF000000}"/>
    <cellStyle name="Normal 2 2 3" xfId="15" xr:uid="{00000000-0005-0000-0000-0000F0000000}"/>
    <cellStyle name="Normal 2 2 3 2" xfId="16" xr:uid="{00000000-0005-0000-0000-0000F1000000}"/>
    <cellStyle name="Normal 2 2 4" xfId="17" xr:uid="{00000000-0005-0000-0000-0000F2000000}"/>
    <cellStyle name="Normal 2 2 4 2" xfId="18" xr:uid="{00000000-0005-0000-0000-0000F3000000}"/>
    <cellStyle name="Normal 2 3" xfId="19" xr:uid="{00000000-0005-0000-0000-0000F4000000}"/>
    <cellStyle name="Normal 2 3 2" xfId="20" xr:uid="{00000000-0005-0000-0000-0000F5000000}"/>
    <cellStyle name="Normal 2 3 2 2" xfId="21" xr:uid="{00000000-0005-0000-0000-0000F6000000}"/>
    <cellStyle name="Normal 2 3 3" xfId="22" xr:uid="{00000000-0005-0000-0000-0000F7000000}"/>
    <cellStyle name="Normal 2 3 3 2" xfId="23" xr:uid="{00000000-0005-0000-0000-0000F8000000}"/>
    <cellStyle name="Normal 2 3 4" xfId="24" xr:uid="{00000000-0005-0000-0000-0000F9000000}"/>
    <cellStyle name="Normal 2 3 5" xfId="25" xr:uid="{00000000-0005-0000-0000-0000FA000000}"/>
    <cellStyle name="Normal 2 4" xfId="3" xr:uid="{00000000-0005-0000-0000-0000FB000000}"/>
    <cellStyle name="Normal 2 4 2" xfId="26" xr:uid="{00000000-0005-0000-0000-0000FC000000}"/>
    <cellStyle name="Normal 2 5" xfId="27" xr:uid="{00000000-0005-0000-0000-0000FD000000}"/>
    <cellStyle name="Normal 2 6" xfId="28" xr:uid="{00000000-0005-0000-0000-0000FE000000}"/>
    <cellStyle name="Normal 24" xfId="29" xr:uid="{00000000-0005-0000-0000-0000FF000000}"/>
    <cellStyle name="Normal 24 2" xfId="30" xr:uid="{00000000-0005-0000-0000-000000010000}"/>
    <cellStyle name="Normal 25" xfId="31" xr:uid="{00000000-0005-0000-0000-000001010000}"/>
    <cellStyle name="Normal 25 2" xfId="32" xr:uid="{00000000-0005-0000-0000-000002010000}"/>
    <cellStyle name="Normal 26" xfId="33" xr:uid="{00000000-0005-0000-0000-000003010000}"/>
    <cellStyle name="Normal 26 2" xfId="34" xr:uid="{00000000-0005-0000-0000-000004010000}"/>
    <cellStyle name="Normal 27" xfId="35" xr:uid="{00000000-0005-0000-0000-000005010000}"/>
    <cellStyle name="Normal 27 2" xfId="36" xr:uid="{00000000-0005-0000-0000-000006010000}"/>
    <cellStyle name="Normal 3" xfId="37" xr:uid="{00000000-0005-0000-0000-000007010000}"/>
    <cellStyle name="Normal 3 2" xfId="38" xr:uid="{00000000-0005-0000-0000-000008010000}"/>
    <cellStyle name="Normal 3 2 2" xfId="39" xr:uid="{00000000-0005-0000-0000-000009010000}"/>
    <cellStyle name="Normal 3 3" xfId="40" xr:uid="{00000000-0005-0000-0000-00000A010000}"/>
    <cellStyle name="Normal 3 3 2" xfId="41" xr:uid="{00000000-0005-0000-0000-00000B010000}"/>
    <cellStyle name="Normal 3 4" xfId="42" xr:uid="{00000000-0005-0000-0000-00000C010000}"/>
    <cellStyle name="Normal 3 4 2" xfId="43" xr:uid="{00000000-0005-0000-0000-00000D010000}"/>
    <cellStyle name="Normal 3 5" xfId="44" xr:uid="{00000000-0005-0000-0000-00000E010000}"/>
    <cellStyle name="Normal 3 5 2" xfId="45" xr:uid="{00000000-0005-0000-0000-00000F010000}"/>
    <cellStyle name="Normal 4" xfId="46" xr:uid="{00000000-0005-0000-0000-000010010000}"/>
    <cellStyle name="Normal 4 2" xfId="47" xr:uid="{00000000-0005-0000-0000-000011010000}"/>
    <cellStyle name="Normal 5" xfId="48" xr:uid="{00000000-0005-0000-0000-000012010000}"/>
    <cellStyle name="Normal 5 2" xfId="49" xr:uid="{00000000-0005-0000-0000-000013010000}"/>
    <cellStyle name="Normal 5 2 2" xfId="50" xr:uid="{00000000-0005-0000-0000-000014010000}"/>
    <cellStyle name="Normal 5 3" xfId="51" xr:uid="{00000000-0005-0000-0000-000015010000}"/>
    <cellStyle name="Normal 6" xfId="52" xr:uid="{00000000-0005-0000-0000-000016010000}"/>
    <cellStyle name="Normal 6 2" xfId="53" xr:uid="{00000000-0005-0000-0000-000017010000}"/>
    <cellStyle name="Normal 6 3" xfId="54" xr:uid="{00000000-0005-0000-0000-000018010000}"/>
    <cellStyle name="Normal 7" xfId="55" xr:uid="{00000000-0005-0000-0000-000019010000}"/>
    <cellStyle name="Normal 7 2" xfId="285" xr:uid="{00000000-0005-0000-0000-00001A010000}"/>
    <cellStyle name="Normal 8" xfId="56" xr:uid="{00000000-0005-0000-0000-00001B010000}"/>
    <cellStyle name="Normal 8 2" xfId="57" xr:uid="{00000000-0005-0000-0000-00001C010000}"/>
    <cellStyle name="Normal 9" xfId="58" xr:uid="{00000000-0005-0000-0000-00001D010000}"/>
    <cellStyle name="Normal 9 2" xfId="59" xr:uid="{00000000-0005-0000-0000-00001E010000}"/>
    <cellStyle name="Note 2" xfId="286" xr:uid="{00000000-0005-0000-0000-000020010000}"/>
    <cellStyle name="Note 3" xfId="287" xr:uid="{00000000-0005-0000-0000-000021010000}"/>
    <cellStyle name="Note 4" xfId="288" xr:uid="{00000000-0005-0000-0000-000022010000}"/>
    <cellStyle name="Note 5" xfId="289" xr:uid="{00000000-0005-0000-0000-000023010000}"/>
    <cellStyle name="Note 6" xfId="290" xr:uid="{00000000-0005-0000-0000-000024010000}"/>
    <cellStyle name="Note 7" xfId="291" xr:uid="{00000000-0005-0000-0000-000025010000}"/>
    <cellStyle name="Output 2" xfId="292" xr:uid="{00000000-0005-0000-0000-000026010000}"/>
    <cellStyle name="Output 3" xfId="293" xr:uid="{00000000-0005-0000-0000-000027010000}"/>
    <cellStyle name="Output 4" xfId="294" xr:uid="{00000000-0005-0000-0000-000028010000}"/>
    <cellStyle name="Output 5" xfId="295" xr:uid="{00000000-0005-0000-0000-000029010000}"/>
    <cellStyle name="Output 6" xfId="296" xr:uid="{00000000-0005-0000-0000-00002A010000}"/>
    <cellStyle name="Output 7" xfId="297" xr:uid="{00000000-0005-0000-0000-00002B010000}"/>
    <cellStyle name="Percent 2" xfId="2" xr:uid="{00000000-0005-0000-0000-00002D010000}"/>
    <cellStyle name="Percent 2 2" xfId="60" xr:uid="{00000000-0005-0000-0000-00002E010000}"/>
    <cellStyle name="Percent 3" xfId="298" xr:uid="{00000000-0005-0000-0000-00002F010000}"/>
    <cellStyle name="Percent 4" xfId="299" xr:uid="{00000000-0005-0000-0000-000030010000}"/>
    <cellStyle name="Percent 5" xfId="300" xr:uid="{00000000-0005-0000-0000-000031010000}"/>
    <cellStyle name="Percent 6" xfId="301" xr:uid="{00000000-0005-0000-0000-000032010000}"/>
    <cellStyle name="Percent 7" xfId="302" xr:uid="{00000000-0005-0000-0000-000033010000}"/>
    <cellStyle name="Title 2" xfId="303" xr:uid="{00000000-0005-0000-0000-000034010000}"/>
    <cellStyle name="Title 3" xfId="304" xr:uid="{00000000-0005-0000-0000-000035010000}"/>
    <cellStyle name="Title 4" xfId="305" xr:uid="{00000000-0005-0000-0000-000036010000}"/>
    <cellStyle name="Title 5" xfId="306" xr:uid="{00000000-0005-0000-0000-000037010000}"/>
    <cellStyle name="Title 6" xfId="307" xr:uid="{00000000-0005-0000-0000-000038010000}"/>
    <cellStyle name="Title 7" xfId="308" xr:uid="{00000000-0005-0000-0000-000039010000}"/>
    <cellStyle name="Total 2" xfId="309" xr:uid="{00000000-0005-0000-0000-00003A010000}"/>
    <cellStyle name="Total 3" xfId="310" xr:uid="{00000000-0005-0000-0000-00003B010000}"/>
    <cellStyle name="Total 4" xfId="311" xr:uid="{00000000-0005-0000-0000-00003C010000}"/>
    <cellStyle name="Total 5" xfId="312" xr:uid="{00000000-0005-0000-0000-00003D010000}"/>
    <cellStyle name="Total 6" xfId="313" xr:uid="{00000000-0005-0000-0000-00003E010000}"/>
    <cellStyle name="Total 7" xfId="314" xr:uid="{00000000-0005-0000-0000-00003F010000}"/>
    <cellStyle name="Warning Text 2" xfId="315" xr:uid="{00000000-0005-0000-0000-000040010000}"/>
    <cellStyle name="Warning Text 3" xfId="316" xr:uid="{00000000-0005-0000-0000-000041010000}"/>
    <cellStyle name="Warning Text 4" xfId="317" xr:uid="{00000000-0005-0000-0000-000042010000}"/>
    <cellStyle name="Warning Text 5" xfId="318" xr:uid="{00000000-0005-0000-0000-000043010000}"/>
    <cellStyle name="Warning Text 6" xfId="319" xr:uid="{00000000-0005-0000-0000-000044010000}"/>
    <cellStyle name="Warning Text 7" xfId="320" xr:uid="{00000000-0005-0000-0000-000045010000}"/>
  </cellStyles>
  <dxfs count="4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13" formatCode="0%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13" formatCode="0%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13" formatCode="0%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13" formatCode="0%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13" formatCode="0%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13" formatCode="0%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numFmt numFmtId="9" formatCode="&quot;$&quot;#,##0_);\(&quot;$&quot;#,##0\)"/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numFmt numFmtId="9" formatCode="&quot;$&quot;#,##0_);\(&quot;$&quot;#,##0\)"/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9" formatCode="&quot;$&quot;#,##0_);\(&quot;$&quot;#,##0\)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numFmt numFmtId="9" formatCode="&quot;$&quot;#,##0_);\(&quot;$&quot;#,##0\)"/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numFmt numFmtId="9" formatCode="&quot;$&quot;#,##0_);\(&quot;$&quot;#,##0\)"/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numFmt numFmtId="9" formatCode="&quot;$&quot;#,##0_);\(&quot;$&quot;#,##0\)"/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numFmt numFmtId="9" formatCode="&quot;$&quot;#,##0_);\(&quot;$&quot;#,##0\)"/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medium">
          <color auto="1"/>
        </bottom>
      </border>
      <protection locked="0" hidden="0"/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medium">
          <color auto="1"/>
        </bottom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medium">
          <color auto="1"/>
        </bottom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medium">
          <color auto="1"/>
        </bottom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rgb="FF0F243E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F243E"/>
        </left>
        <right style="thin">
          <color rgb="FF0F243E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FFFF99"/>
      <color rgb="FF15FF7F"/>
      <color rgb="FF6DD9FF"/>
      <color rgb="FFFC4E67"/>
      <color rgb="FFC9FFF5"/>
      <color rgb="FF07FFD6"/>
      <color rgb="FFFE90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yan/Accounts%20Drive/S/Sugar%20Foods%20-%20CA%20EQ%20DIC/2016/2016%20SOV%20$108,700,000%20revised%202.10.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Non Model Peril Loc Deductibles"/>
      <sheetName val="Statement of Values"/>
      <sheetName val="RMS Inputs"/>
      <sheetName val="RMS Results"/>
      <sheetName val="Named Insured "/>
      <sheetName val="Dependent Properties"/>
      <sheetName val="Sheet1"/>
      <sheetName val="Dropdown lists"/>
    </sheetNames>
    <sheetDataSet>
      <sheetData sheetId="0">
        <row r="15">
          <cell r="A15" t="str">
            <v>AL</v>
          </cell>
        </row>
        <row r="16">
          <cell r="A16" t="str">
            <v>AK</v>
          </cell>
        </row>
        <row r="17">
          <cell r="A17" t="str">
            <v>AZ</v>
          </cell>
        </row>
        <row r="18">
          <cell r="A18" t="str">
            <v>AR</v>
          </cell>
        </row>
        <row r="19">
          <cell r="A19" t="str">
            <v>CA</v>
          </cell>
        </row>
        <row r="20">
          <cell r="A20" t="str">
            <v>CO</v>
          </cell>
        </row>
        <row r="21">
          <cell r="A21" t="str">
            <v>CT</v>
          </cell>
          <cell r="B21" t="str">
            <v>US</v>
          </cell>
        </row>
        <row r="22">
          <cell r="A22" t="str">
            <v>DC</v>
          </cell>
          <cell r="B22" t="str">
            <v>CA</v>
          </cell>
        </row>
        <row r="23">
          <cell r="A23" t="str">
            <v>DE</v>
          </cell>
        </row>
        <row r="24">
          <cell r="A24" t="str">
            <v>FL</v>
          </cell>
        </row>
        <row r="25">
          <cell r="A25" t="str">
            <v>GA</v>
          </cell>
        </row>
        <row r="26">
          <cell r="A26" t="str">
            <v>HI</v>
          </cell>
        </row>
        <row r="27">
          <cell r="A27" t="str">
            <v>ID</v>
          </cell>
        </row>
        <row r="28">
          <cell r="A28" t="str">
            <v>IL</v>
          </cell>
        </row>
        <row r="29">
          <cell r="A29" t="str">
            <v>IN</v>
          </cell>
        </row>
        <row r="30">
          <cell r="A30" t="str">
            <v>IA</v>
          </cell>
        </row>
        <row r="31">
          <cell r="A31" t="str">
            <v>KS</v>
          </cell>
        </row>
        <row r="32">
          <cell r="A32" t="str">
            <v>KY</v>
          </cell>
        </row>
        <row r="33">
          <cell r="A33" t="str">
            <v>LA</v>
          </cell>
        </row>
        <row r="34">
          <cell r="A34" t="str">
            <v>ME</v>
          </cell>
        </row>
        <row r="35">
          <cell r="A35" t="str">
            <v>MD</v>
          </cell>
        </row>
        <row r="36">
          <cell r="A36" t="str">
            <v>MA</v>
          </cell>
        </row>
        <row r="37">
          <cell r="A37" t="str">
            <v>MI</v>
          </cell>
        </row>
        <row r="38">
          <cell r="A38" t="str">
            <v>MN</v>
          </cell>
        </row>
        <row r="39">
          <cell r="A39" t="str">
            <v>MS</v>
          </cell>
        </row>
        <row r="40">
          <cell r="A40" t="str">
            <v>MO</v>
          </cell>
        </row>
        <row r="41">
          <cell r="A41" t="str">
            <v>MT</v>
          </cell>
        </row>
        <row r="42">
          <cell r="A42" t="str">
            <v>NE</v>
          </cell>
        </row>
        <row r="43">
          <cell r="A43" t="str">
            <v>NV</v>
          </cell>
        </row>
        <row r="44">
          <cell r="A44" t="str">
            <v>NH</v>
          </cell>
        </row>
        <row r="45">
          <cell r="A45" t="str">
            <v>NJ</v>
          </cell>
        </row>
        <row r="46">
          <cell r="A46" t="str">
            <v>NM</v>
          </cell>
        </row>
        <row r="47">
          <cell r="A47" t="str">
            <v>NY</v>
          </cell>
        </row>
        <row r="48">
          <cell r="A48" t="str">
            <v>NC</v>
          </cell>
        </row>
        <row r="49">
          <cell r="A49" t="str">
            <v>ND</v>
          </cell>
        </row>
        <row r="50">
          <cell r="A50" t="str">
            <v>OH</v>
          </cell>
        </row>
        <row r="51">
          <cell r="A51" t="str">
            <v>OK</v>
          </cell>
        </row>
        <row r="52">
          <cell r="A52" t="str">
            <v>OR</v>
          </cell>
        </row>
        <row r="53">
          <cell r="A53" t="str">
            <v>PA</v>
          </cell>
        </row>
        <row r="54">
          <cell r="A54" t="str">
            <v>RI</v>
          </cell>
        </row>
        <row r="55">
          <cell r="A55" t="str">
            <v>SC</v>
          </cell>
        </row>
        <row r="56">
          <cell r="A56" t="str">
            <v>SD</v>
          </cell>
        </row>
        <row r="57">
          <cell r="A57" t="str">
            <v>TN</v>
          </cell>
        </row>
        <row r="58">
          <cell r="A58" t="str">
            <v>TX</v>
          </cell>
        </row>
        <row r="59">
          <cell r="A59" t="str">
            <v>UT</v>
          </cell>
        </row>
        <row r="60">
          <cell r="A60" t="str">
            <v>VT</v>
          </cell>
        </row>
        <row r="61">
          <cell r="A61" t="str">
            <v>VA</v>
          </cell>
        </row>
        <row r="62">
          <cell r="A62" t="str">
            <v>WA</v>
          </cell>
        </row>
        <row r="63">
          <cell r="A63" t="str">
            <v>WV</v>
          </cell>
        </row>
        <row r="64">
          <cell r="A64" t="str">
            <v>WI</v>
          </cell>
        </row>
        <row r="65">
          <cell r="A65" t="str">
            <v>WY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135AE6-39BC-4BE2-9DEA-DAE367D21C40}" name="LIST_LOCATIONDETAILS334" displayName="LIST_LOCATIONDETAILS334" ref="B5:HX128" totalsRowCount="1" headerRowDxfId="464" dataDxfId="462" totalsRowDxfId="461" headerRowBorderDxfId="463">
  <autoFilter ref="B5:HX127" xr:uid="{DB135AE6-39BC-4BE2-9DEA-DAE367D21C40}"/>
  <sortState xmlns:xlrd2="http://schemas.microsoft.com/office/spreadsheetml/2017/richdata2" ref="B6:HR20">
    <sortCondition ref="ER5:ER20"/>
  </sortState>
  <tableColumns count="231">
    <tableColumn id="1" xr3:uid="{CA3B6EEF-B693-4ACE-80A1-F886B6CD1DA9}" name="Loc #" dataDxfId="460" totalsRowDxfId="459"/>
    <tableColumn id="230" xr3:uid="{15A2D614-A812-438F-8ECC-7618F11D0B31}" name="Bldg #" dataDxfId="458" totalsRowDxfId="457"/>
    <tableColumn id="2" xr3:uid="{F8CED4F1-7B14-4FB9-B710-3427B1A4894A}" name="Loc Name" dataDxfId="456" totalsRowDxfId="455"/>
    <tableColumn id="3" xr3:uid="{6718D977-8FF6-41E0-BB75-B53A5C1E5901}" name="WS" dataDxfId="454" totalsRowDxfId="453"/>
    <tableColumn id="4" xr3:uid="{A431FC26-430D-43E0-8566-A02546EAE3B1}" name="EQ" dataDxfId="452" totalsRowDxfId="451"/>
    <tableColumn id="5" xr3:uid="{76AA9918-C64B-4AFC-8DCA-4D641EFA37DE}" name="TO" dataDxfId="450" totalsRowDxfId="449"/>
    <tableColumn id="6" xr3:uid="{546806DB-BB9C-4FE4-AFFF-54C8573DAC0C}" name="Geocode Match Level" dataDxfId="448" totalsRowDxfId="447"/>
    <tableColumn id="7" xr3:uid="{617A5666-FA82-49F6-A3B4-F69AEAF13034}" name="Geocode Response Status" dataDxfId="446" totalsRowDxfId="445"/>
    <tableColumn id="8" xr3:uid="{11E393C5-F1CD-4924-8EE3-6A9423FAE3D1}" name="Street Address" dataDxfId="444" totalsRowDxfId="443"/>
    <tableColumn id="9" xr3:uid="{CEF9898A-FC76-49CA-B189-8E5CBEE88D2B}" name="City" dataDxfId="442" totalsRowDxfId="441"/>
    <tableColumn id="10" xr3:uid="{1FFAB75C-767B-4EFD-8EF4-0C35FB5C78CC}" name="State Code" dataDxfId="440" totalsRowDxfId="439"/>
    <tableColumn id="11" xr3:uid="{9BF6F415-185A-4C28-B28A-D6BD6C953D71}" name="Postal Code" dataDxfId="438" totalsRowDxfId="437"/>
    <tableColumn id="12" xr3:uid="{E3F82155-9127-4C07-9B73-6FCBDAA40A8A}" name="County" totalsRowLabel="Totals:" dataDxfId="436" totalsRowDxfId="435"/>
    <tableColumn id="13" xr3:uid="{876F1E61-6329-4DA7-83A3-1BE04EAE22FA}" name="Country*" dataDxfId="434" totalsRowDxfId="433"/>
    <tableColumn id="14" xr3:uid="{56A7AD47-3C1D-466F-87D4-CC2217653E60}" name="PML Zone (CRESTA)" dataDxfId="432" totalsRowDxfId="431"/>
    <tableColumn id="15" xr3:uid="{C0CBD630-640E-4245-8124-C1BE2FACF302}" name="Latitude" dataDxfId="430" totalsRowDxfId="429"/>
    <tableColumn id="16" xr3:uid="{F1690FBC-BD37-426A-AA8A-E259262D626B}" name="Longitude" dataDxfId="428" totalsRowDxfId="427"/>
    <tableColumn id="17" xr3:uid="{C78996C2-D5BD-43DD-8A7E-FDB32004996B}" name="Building" totalsRowFunction="sum" dataDxfId="426" totalsRowDxfId="425"/>
    <tableColumn id="18" xr3:uid="{7CB28363-3F2C-483F-B9CF-BA60CF09C1C3}" name="Contents" totalsRowFunction="sum" dataDxfId="424" totalsRowDxfId="423"/>
    <tableColumn id="223" xr3:uid="{7FF74761-5C71-4363-BA53-D32500EC38F5}" name="BI" totalsRowFunction="custom" dataDxfId="422" totalsRowDxfId="421">
      <totalsRowFormula>SUM(LIST_LOCATIONDETAILS334[BI])</totalsRowFormula>
    </tableColumn>
    <tableColumn id="211" xr3:uid="{5767C5C9-2B5A-48C4-A695-9B5E52A6DDA1}" name="TIV" totalsRowFunction="sum" totalsRowDxfId="420">
      <calculatedColumnFormula>SUM(LIST_LOCATIONDETAILS334[[#This Row],[Building]:[BI]])</calculatedColumnFormula>
    </tableColumn>
    <tableColumn id="20" xr3:uid="{333B0806-1C66-46DC-AFFD-B6657D4D44D8}" name="Site Limit" dataDxfId="419" totalsRowDxfId="418"/>
    <tableColumn id="21" xr3:uid="{B0023417-FB52-4731-9503-7E0B512A159E}" name="WS Special Case" dataDxfId="417" totalsRowDxfId="416"/>
    <tableColumn id="22" xr3:uid="{11C57BB2-9F32-4F08-A879-30A020EC9A09}" name="WS Site Deductible" dataDxfId="415" totalsRowDxfId="414"/>
    <tableColumn id="23" xr3:uid="{766DAAF0-50F8-4BE5-B152-BD28ECF0D48E}" name="WS Building Deductible" dataDxfId="413" totalsRowDxfId="412"/>
    <tableColumn id="24" xr3:uid="{2DE3BC2C-2C42-45B4-9088-C7C3B07C15E3}" name="WS Contents Deductible" dataDxfId="411" totalsRowDxfId="410"/>
    <tableColumn id="25" xr3:uid="{69B03C68-60CD-4A09-9F95-43E31C8E6191}" name="WS BI Deductible" dataDxfId="409" totalsRowDxfId="408"/>
    <tableColumn id="26" xr3:uid="{3CF244DB-80CD-4AE3-9504-FF91BEB1AFFC}" name="EQ Special Case" dataDxfId="407" totalsRowDxfId="406"/>
    <tableColumn id="27" xr3:uid="{730C41DA-4F1C-46A4-A12A-D4FB66468FA6}" name="EQ Site Deductible" dataDxfId="405" totalsRowDxfId="404"/>
    <tableColumn id="28" xr3:uid="{0624FB86-F146-4C23-A7BD-188A551F8B4F}" name="EQ Building Deductible" dataDxfId="403" totalsRowDxfId="402"/>
    <tableColumn id="29" xr3:uid="{107BEDB4-0A3A-446E-B0DA-F2FFBC393140}" name="EQ Contents Deductible" dataDxfId="401" totalsRowDxfId="400"/>
    <tableColumn id="30" xr3:uid="{9F9443E2-4153-4EED-B5A1-6B4CF0F8C2A7}" name="EQ BI Deductible" dataDxfId="399" totalsRowDxfId="398"/>
    <tableColumn id="31" xr3:uid="{E906ED72-AFFE-4694-BF76-9AF57258F11A}" name="TO Special Case" dataDxfId="397" totalsRowDxfId="396"/>
    <tableColumn id="32" xr3:uid="{7B816A6C-55A2-4A2A-8764-F6455531812A}" name="TO Site Deductible" dataDxfId="395" totalsRowDxfId="394"/>
    <tableColumn id="33" xr3:uid="{FFAF3149-FF4D-4DA9-90E5-71B1F50E7F78}" name="TO Building Deductible" dataDxfId="393" totalsRowDxfId="392"/>
    <tableColumn id="34" xr3:uid="{699FDAD2-8FD5-4E4F-8B15-D2A1418376B9}" name="TO Contents Deductible" dataDxfId="391" totalsRowDxfId="390"/>
    <tableColumn id="35" xr3:uid="{25526A17-C25E-4619-BCC8-933E64496DCD}" name="TO BI Deductible" dataDxfId="389" totalsRowDxfId="388"/>
    <tableColumn id="36" xr3:uid="{9800C5F1-C2D8-496C-AF9B-A53291744A7B}" name="BI Waiting Period (days)" dataDxfId="387" totalsRowDxfId="386"/>
    <tableColumn id="37" xr3:uid="{8FF6C779-984B-47B0-BB11-48903D77CABA}" name="Construction Scheme" dataDxfId="385" totalsRowDxfId="384"/>
    <tableColumn id="38" xr3:uid="{04D66E2A-04DF-45AC-9A82-A5C2123A4FBD}" name="Construction Class" dataDxfId="383" totalsRowDxfId="382"/>
    <tableColumn id="39" xr3:uid="{AF72EC11-DA7B-4081-A8CC-CD4EC72F6551}" name="Construction Description" dataDxfId="381" totalsRowDxfId="380"/>
    <tableColumn id="40" xr3:uid="{C786E1E4-39E0-41D6-B23A-E6919A21C0F7}" name="Occupancy Scheme" dataDxfId="379" totalsRowDxfId="378"/>
    <tableColumn id="41" xr3:uid="{71C51006-5106-4C8C-86DA-90D104F939BF}" name="Occupancy Type" dataDxfId="377" totalsRowDxfId="376"/>
    <tableColumn id="42" xr3:uid="{2ADF3202-AF9E-451E-9866-107FD91EA2F8}" name="Occupancy Description" dataDxfId="375" totalsRowDxfId="374"/>
    <tableColumn id="43" xr3:uid="{D7B4565B-BDD7-4874-BBC1-C1AA0A492D0E}" name="Year Built" dataDxfId="373" totalsRowDxfId="372"/>
    <tableColumn id="44" xr3:uid="{E805661C-0EAF-416F-83C0-309CD9AC04AA}" name="Year Upgraded" dataDxfId="371" totalsRowDxfId="370"/>
    <tableColumn id="45" xr3:uid="{0679D460-0425-4B23-9EF1-A5CA83096BAA}" name="Start Date" dataDxfId="369" totalsRowDxfId="368"/>
    <tableColumn id="46" xr3:uid="{9A38D638-0089-43A4-A991-575D53D8A151}" name="Completion Date" dataDxfId="367" totalsRowDxfId="366"/>
    <tableColumn id="47" xr3:uid="{2705E620-EAE4-495B-AC79-50535515361F}" name="Percent Complete" dataDxfId="365" totalsRowDxfId="364"/>
    <tableColumn id="48" xr3:uid="{35B9FB49-B838-48BC-A6E4-989703D3A65E}" name="# Bldg" dataDxfId="363" totalsRowDxfId="362"/>
    <tableColumn id="49" xr3:uid="{45C8314F-865E-4756-AFCC-D32DAB103D88}" name="Number of Stories" dataDxfId="361" totalsRowDxfId="360"/>
    <tableColumn id="50" xr3:uid="{C4D37BB9-9F9C-46E4-991F-C48206626AE5}" name="Floor Area (sq ft)" dataDxfId="359" totalsRowDxfId="358"/>
    <tableColumn id="51" xr3:uid="{E66B0C53-CFD5-48B6-9CE0-672944B3E8B8}" name="Content Grade" dataDxfId="357" totalsRowDxfId="356"/>
    <tableColumn id="52" xr3:uid="{66ACC54E-640C-4623-BE12-5E318FF2F653}" name="Flood Defense Elevation" dataDxfId="355" totalsRowDxfId="354"/>
    <tableColumn id="53" xr3:uid="{07F59675-6E01-46B8-90FC-BE3ACBCBDE08}" name="Flood Defense Elevation Unit" dataDxfId="353" totalsRowDxfId="352"/>
    <tableColumn id="54" xr3:uid="{610954AA-A936-4C94-9072-183FAE940DD9}" name="Rental Property Identifier" dataDxfId="351" totalsRowDxfId="350"/>
    <tableColumn id="55" xr3:uid="{6F62058F-ADDF-415B-BE00-B84DDB5D4FFD}" name="MFD Subcategory" dataDxfId="349" totalsRowDxfId="348"/>
    <tableColumn id="218" xr3:uid="{2894825B-447D-4C5A-A8D0-47EB10CBF407}" name="Windstorm Cause of Loss" dataDxfId="347" totalsRowDxfId="346"/>
    <tableColumn id="56" xr3:uid="{460D555F-AFAB-42BF-92F9-EE1F65F6E02C}" name="WS Construction Quality" dataDxfId="345" totalsRowDxfId="344"/>
    <tableColumn id="57" xr3:uid="{7113A588-93A4-4C45-B92D-9615CFAB8980}" name="WS Roof Covering" dataDxfId="343" totalsRowDxfId="342"/>
    <tableColumn id="58" xr3:uid="{236642BD-3295-4BCB-B9A4-EAF09664FB7A}" name="WS Roof Age / Condition" dataDxfId="341" totalsRowDxfId="340"/>
    <tableColumn id="59" xr3:uid="{EAC3E9E6-D186-44DB-835A-4B9407123724}" name="WS Roof Geometry" dataDxfId="339" totalsRowDxfId="338"/>
    <tableColumn id="60" xr3:uid="{FE33D4CA-6667-41BC-B139-DC17B9CCE238}" name="WS Roof Anchor" dataDxfId="337" totalsRowDxfId="336"/>
    <tableColumn id="61" xr3:uid="{892BD247-3A81-4625-B135-A64562D78487}" name="WS Basement" dataDxfId="335" totalsRowDxfId="334"/>
    <tableColumn id="62" xr3:uid="{61381C25-20BD-4AA4-8B45-D7A2F22FD1AE}" name="WS Commercial Appurtenant Structures" dataDxfId="333" totalsRowDxfId="332"/>
    <tableColumn id="63" xr3:uid="{FD7542EB-90C7-41AB-A8D8-C820A99AEA9F}" name="WS Cladding Type" dataDxfId="331" totalsRowDxfId="330"/>
    <tableColumn id="64" xr3:uid="{86D61665-467C-45C1-8E05-A2F07265F86E}" name="WS Roof Sheathing Attachment" dataDxfId="329" totalsRowDxfId="328"/>
    <tableColumn id="65" xr3:uid="{F571484E-B9A9-42FD-9A70-5D2304E09CA2}" name="WS Frame-Foundation Connection" dataDxfId="327" totalsRowDxfId="326"/>
    <tableColumn id="66" xr3:uid="{3805C8F3-1790-417A-BE7D-6E5877FDB819}" name="WS Residential Appurtenant Structures" dataDxfId="325" totalsRowDxfId="324"/>
    <tableColumn id="67" xr3:uid="{420AF740-D2E6-4C3A-9E8E-2CE1A8C0872B}" name="WS Roof Equipment Hurricane Bracing" dataDxfId="323" totalsRowDxfId="322"/>
    <tableColumn id="68" xr3:uid="{E9FF2909-B09B-4E4B-856D-621281B5C48F}" name="WS Ground-Level Equipment" dataDxfId="321" totalsRowDxfId="320"/>
    <tableColumn id="69" xr3:uid="{188A4B25-A38B-440D-AF12-55F10BB91195}" name="WS Opening Protection" dataDxfId="319" totalsRowDxfId="318"/>
    <tableColumn id="70" xr3:uid="{66920E8A-3852-42F2-8F1D-0DFCD0A59896}" name="Building Elevation (feet)" dataDxfId="317" totalsRowDxfId="316"/>
    <tableColumn id="71" xr3:uid="{9DE0AC2B-526E-4AF6-8BF8-EF60BE6933BF}" name="Building Elevation Match" dataDxfId="315" totalsRowDxfId="314"/>
    <tableColumn id="72" xr3:uid="{8476D93B-F311-4D1D-BA73-4BF3C942C355}" name="Rms Building Elevation (feet)" dataDxfId="313" totalsRowDxfId="312"/>
    <tableColumn id="73" xr3:uid="{96CCC8E0-F68E-4027-BD86-562D03EC0C7E}" name="Rms Building Elevation Match" dataDxfId="311" totalsRowDxfId="310"/>
    <tableColumn id="74" xr3:uid="{F5979953-1EE6-4900-B055-6D739F41E45A}" name="NFIP Year" dataDxfId="309" totalsRowDxfId="308"/>
    <tableColumn id="75" xr3:uid="{83B9A3F2-BD75-407E-8C08-F330279ABD88}" name="NFIP Year Match" dataDxfId="307" totalsRowDxfId="306"/>
    <tableColumn id="76" xr3:uid="{A1BAEA1E-8CAA-492C-9736-0241425F495E}" name="NFIP Rate" dataDxfId="305" totalsRowDxfId="304"/>
    <tableColumn id="77" xr3:uid="{7DB413A1-5A4C-47F5-9CC6-294B2B8F5AB8}" name="Flashing and Coping Quality" dataDxfId="303" totalsRowDxfId="302"/>
    <tableColumn id="78" xr3:uid="{47927209-B93A-4247-A739-04375C0D8DB6}" name="IFM Vertical Exposure Distribution" dataDxfId="301" totalsRowDxfId="300"/>
    <tableColumn id="79" xr3:uid="{4D47E227-7077-45E8-B812-8A71EB6FFDC3}" name="IFM Structure Condition" dataDxfId="299" totalsRowDxfId="298"/>
    <tableColumn id="80" xr3:uid="{227AD0D1-9E09-4716-A233-9CADC358DC1E}" name="WS IFM Outdoor Machinery/Equipment Bracing" dataDxfId="297" totalsRowDxfId="296"/>
    <tableColumn id="81" xr3:uid="{680D6FAF-BF45-4BD0-98B3-0E7F9440A791}" name="WS IFM Site Hazard" dataDxfId="295" totalsRowDxfId="294"/>
    <tableColumn id="82" xr3:uid="{5C8AB23D-BE74-4D99-94DD-0FFE4BE5D039}" name="WS BI Zone" dataDxfId="293" totalsRowDxfId="292"/>
    <tableColumn id="83" xr3:uid="{509DD6CD-EB23-4333-B917-06427C580443}" name="Plan Irregularity" dataDxfId="291" totalsRowDxfId="290"/>
    <tableColumn id="84" xr3:uid="{E21A1225-EDF1-41AA-858F-2586089DFF2D}" name="Soft Story" dataDxfId="289" totalsRowDxfId="288"/>
    <tableColumn id="85" xr3:uid="{DCA4C054-3539-4881-99AC-BD724E038670}" name="Vertical Irregularity" dataDxfId="287" totalsRowDxfId="286"/>
    <tableColumn id="86" xr3:uid="{578744C2-19F6-423E-9F39-3B0F13816900}" name="EQ Cladding Type" dataDxfId="285" totalsRowDxfId="284"/>
    <tableColumn id="87" xr3:uid="{ADB3812C-90FE-41FB-806D-FBBC94DB051F}" name="Short Column" dataDxfId="283" totalsRowDxfId="282"/>
    <tableColumn id="88" xr3:uid="{23FC6E55-5F58-4D55-8F55-28EFCF42533B}" name="URM Chimney/Partition" dataDxfId="281" totalsRowDxfId="280"/>
    <tableColumn id="89" xr3:uid="{09D080F3-F30F-4BE1-ADFB-C3031E6EA56C}" name="Ornamentation" dataDxfId="279" totalsRowDxfId="278"/>
    <tableColumn id="90" xr3:uid="{0B28C3D7-27A2-453B-AA84-9FE77F342989}" name="Cripple Walls" dataDxfId="277" totalsRowDxfId="276"/>
    <tableColumn id="91" xr3:uid="{BA3C6B61-FCCA-46CF-82A9-56F1D9231E38}" name="Frame Bolted" dataDxfId="275" totalsRowDxfId="274"/>
    <tableColumn id="92" xr3:uid="{BA8C7E8C-0C02-4220-A117-9EEFE7861A59}" name="Anchoring" dataDxfId="273" totalsRowDxfId="272"/>
    <tableColumn id="93" xr3:uid="{8E183C79-5A00-49D5-BDD8-525EB70092D3}" name="URM Retrofit" dataDxfId="271" totalsRowDxfId="270"/>
    <tableColumn id="94" xr3:uid="{ABD8E332-5406-4FF3-BA2C-71DBEC9C922B}" name="Structural Upgrade (Non URMs)" dataDxfId="269" totalsRowDxfId="268"/>
    <tableColumn id="95" xr3:uid="{62CBFB7B-33F1-4444-8E49-9F88B9DD0452}" name="Equipment EQ. Bracing" dataDxfId="267" totalsRowDxfId="266"/>
    <tableColumn id="96" xr3:uid="{CBB2E2AB-FAFF-4B56-8092-43E3D92FEF35}" name="EQ Construction Quality" dataDxfId="265" totalsRowDxfId="264"/>
    <tableColumn id="97" xr3:uid="{9B4192AA-A66C-4BE4-AB86-B62ED000AD08}" name="Equipment Support Maintenance" dataDxfId="263" totalsRowDxfId="262"/>
    <tableColumn id="98" xr3:uid="{FF495EA5-673A-4B31-A435-B5BC438B40EC}" name="Pounding" dataDxfId="261" totalsRowDxfId="260"/>
    <tableColumn id="99" xr3:uid="{C19F86F3-4A95-454B-803B-539FDBD14B95}" name="Engineered Foundation" dataDxfId="259" totalsRowDxfId="258"/>
    <tableColumn id="100" xr3:uid="{1DDB7919-A597-4C93-AB08-B73C92CD70BD}" name="Sprinkler Type" dataDxfId="257" totalsRowDxfId="256"/>
    <tableColumn id="101" xr3:uid="{A0EBD848-DAED-4BAD-B6A6-CD72952B2894}" name="EQSL Susceptibility" dataDxfId="255" totalsRowDxfId="254"/>
    <tableColumn id="102" xr3:uid="{2CA911BA-C50D-4708-B151-4EA147B3F7D0}" name="Base Isolation" dataDxfId="253" totalsRowDxfId="252"/>
    <tableColumn id="103" xr3:uid="{24717B7B-1C8A-456A-9A9A-19424D17CBB7}" name="EQSL Coverage" dataDxfId="251" totalsRowDxfId="250"/>
    <tableColumn id="104" xr3:uid="{622A7128-E1C8-42B5-B8F7-146A85A41462}" name="BI Preparedness" dataDxfId="249" totalsRowDxfId="248"/>
    <tableColumn id="105" xr3:uid="{63AFDD8C-5BA9-4196-A950-9E805EC81F45}" name="BI Redundancy" dataDxfId="247" totalsRowDxfId="246"/>
    <tableColumn id="106" xr3:uid="{29F1408E-3957-4C73-B7B8-2111BEC6F6B2}" name="Service Interruption Cvg" dataDxfId="245" totalsRowDxfId="244"/>
    <tableColumn id="107" xr3:uid="{80D2088A-C70A-42D6-98C0-5D446C3C0F3D}" name="SI Waiting Period (days)" dataDxfId="243" totalsRowDxfId="242"/>
    <tableColumn id="108" xr3:uid="{1EF560D2-635F-4BE9-9608-05AF31FCA12A}" name="SI Limit" dataDxfId="241" totalsRowDxfId="240"/>
    <tableColumn id="109" xr3:uid="{BD8F0C8D-70A1-4259-88B7-C52B8EBFC506}" name="TO Construction Quality" dataDxfId="239" totalsRowDxfId="238"/>
    <tableColumn id="110" xr3:uid="{DF21E4B7-3C59-4B00-9612-026C69DC62E4}" name="TO Roof Framing Type" dataDxfId="237" totalsRowDxfId="236"/>
    <tableColumn id="111" xr3:uid="{0CBE758F-5C09-441C-ADE1-5C62D2FAF1DE}" name="TO Roof Covering" dataDxfId="235" totalsRowDxfId="234"/>
    <tableColumn id="112" xr3:uid="{A4792805-3A01-4B02-8472-C74E21A22C4F}" name="TO Roof Maintenance" dataDxfId="233" totalsRowDxfId="232"/>
    <tableColumn id="113" xr3:uid="{CFF86DF1-3AC0-468B-B19F-8A39DC2EB189}" name="TO Roof Age" dataDxfId="231" totalsRowDxfId="230"/>
    <tableColumn id="114" xr3:uid="{CA8358F3-F320-4BFA-B788-1C4498FBF341}" name="TO Roof Geometry" dataDxfId="229" totalsRowDxfId="228"/>
    <tableColumn id="115" xr3:uid="{96D9C7DB-7BF6-47AD-AD19-C18E151A4CE0}" name="TO Roof Parapets" dataDxfId="227" totalsRowDxfId="226"/>
    <tableColumn id="116" xr3:uid="{ED82B2B4-60CF-42FA-97B0-0C933C0D5E4E}" name="TO Roof Anchor" dataDxfId="225" totalsRowDxfId="224"/>
    <tableColumn id="117" xr3:uid="{B3A2DD2A-4D8B-40FD-9DD0-2FF98C6BE170}" name="TO External Ornamentation" dataDxfId="223" totalsRowDxfId="222"/>
    <tableColumn id="118" xr3:uid="{5CC9962C-C63F-4B11-BDA1-ED768CCEA139}" name="TO Cladding Type" dataDxfId="221" totalsRowDxfId="220"/>
    <tableColumn id="119" xr3:uid="{20D4603F-7994-4BB8-8F56-9D417A441F78}" name="TO Roof Sheathing Attachment" dataDxfId="219" totalsRowDxfId="218"/>
    <tableColumn id="120" xr3:uid="{CACE7B57-7FC9-4FDD-8595-A1DD96B30469}" name="TO Foundation System" dataDxfId="217" totalsRowDxfId="216"/>
    <tableColumn id="121" xr3:uid="{F69F5E37-9A20-471E-BC1D-F73A97DC5C77}" name="TO Architectural Elements" dataDxfId="215" totalsRowDxfId="214"/>
    <tableColumn id="122" xr3:uid="{65914FC1-E743-413E-BCE9-CF6E2499A60E}" name="TO Mech./Elec. Equipment - Roof" dataDxfId="213" totalsRowDxfId="212"/>
    <tableColumn id="123" xr3:uid="{F04E0BA3-243E-4D10-84CF-5C5BD5A22B26}" name="TO Mech./Elec. Equipment - Side of Building" dataDxfId="211" totalsRowDxfId="210"/>
    <tableColumn id="124" xr3:uid="{5D3FF2D5-8E5C-4B3D-80E4-DF48D1F56D16}" name="TO Wind Resistance - Windows" dataDxfId="209" totalsRowDxfId="208"/>
    <tableColumn id="125" xr3:uid="{2D3514DC-C271-4555-A5F0-BD61A76CD015}" name="TO Resistance - Doors" dataDxfId="207" totalsRowDxfId="206"/>
    <tableColumn id="126" xr3:uid="{40AF41CE-A14C-4133-A777-AB65B7C8703F}" name="TO Contents Vulnerability Due to Wind" dataDxfId="205" totalsRowDxfId="204"/>
    <tableColumn id="127" xr3:uid="{43E6FD12-9092-4EFB-8262-6F2C5011F8A5}" name="TO Contents Vulnerability Due To Water" dataDxfId="203" totalsRowDxfId="202"/>
    <tableColumn id="128" xr3:uid="{482556B5-E766-4E45-90F0-BAAA4610D00D}" name="TO Wind Missiles" dataDxfId="201" totalsRowDxfId="200"/>
    <tableColumn id="129" xr3:uid="{6495BC46-9C8E-45FE-98B7-54E75128D931}" name="TO Basement" dataDxfId="199" totalsRowDxfId="198"/>
    <tableColumn id="130" xr3:uid="{71978CBD-AE1A-4BD2-B2CB-664E59C904E3}" name="TO Mech./Elec. Equipment - Ground Level" dataDxfId="197" totalsRowDxfId="196"/>
    <tableColumn id="131" xr3:uid="{CE36B2DA-4F5D-47A8-994E-3D085671D429}" name="Ice Dam Protection" dataDxfId="195" totalsRowDxfId="194"/>
    <tableColumn id="132" xr3:uid="{A10E40B0-E301-4A9B-B037-04016675138B}" name="Plumbing Insulation" dataDxfId="193" totalsRowDxfId="192"/>
    <tableColumn id="133" xr3:uid="{AD65407D-EDFB-4C02-8334-F992033117C5}" name="Attic Insulation" dataDxfId="191" totalsRowDxfId="190"/>
    <tableColumn id="134" xr3:uid="{22E3BDA2-DFEF-4308-BD3D-00EE049C1BB1}" name="Roof Ventilation" dataDxfId="189" totalsRowDxfId="188"/>
    <tableColumn id="135" xr3:uid="{BB96B291-50BE-4E70-9E05-B0EA617167B0}" name="Snow Guards" dataDxfId="187" totalsRowDxfId="186"/>
    <tableColumn id="136" xr3:uid="{43559384-21A5-4DB5-9C20-A43BAA821C76}" name="Tree Density" dataDxfId="185" totalsRowDxfId="184"/>
    <tableColumn id="137" xr3:uid="{8DBAAF9E-489E-4063-958B-B095E9E8400C}" name="Finished Floor Elevation" dataDxfId="183" totalsRowDxfId="182"/>
    <tableColumn id="138" xr3:uid="{F38C10BA-A4B7-4669-935F-937946C46443}" name="Sprinkler System" dataDxfId="181" totalsRowDxfId="180"/>
    <tableColumn id="139" xr3:uid="{1B05B4E4-33F5-4B7F-AF80-EE95400DEE18}" name="Fire Department Rating" dataDxfId="179" totalsRowDxfId="178"/>
    <tableColumn id="140" xr3:uid="{D4A3B2C5-37DB-43AC-8608-72042ED737CD}" name="Fire Department Rating Modifier" dataDxfId="177" totalsRowDxfId="176"/>
    <tableColumn id="141" xr3:uid="{36B6ECEE-82D2-4518-A451-82C34B6392E5}" name="Remote Alarm Monitoring" dataDxfId="175" totalsRowDxfId="174"/>
    <tableColumn id="142" xr3:uid="{0FAD21B1-D55B-485C-A674-39E05A9878BF}" name="Distance to Coast (miles)" dataDxfId="173" totalsRowDxfId="172"/>
    <tableColumn id="143" xr3:uid="{46D11A2B-8B86-43D8-A83A-FB794FC8820D}" name="Elevation (feet)" dataDxfId="171" totalsRowDxfId="170"/>
    <tableColumn id="144" xr3:uid="{BFB934F6-F94E-443C-A3D7-AA6B753824AA}" name="Flood Zone" dataDxfId="169" totalsRowDxfId="168"/>
    <tableColumn id="145" xr3:uid="{2C3BD378-1E50-4840-8511-CD931585F90B}" name="Other Flood Zones" dataDxfId="167" totalsRowDxfId="166"/>
    <tableColumn id="146" xr3:uid="{BD75424B-BCEB-4495-B4B4-99A2B9E63475}" name="Soil Type" dataDxfId="165" totalsRowDxfId="164"/>
    <tableColumn id="147" xr3:uid="{BCC72124-6008-4E35-9021-C2664AB7D1D0}" name="Liquefaction" dataDxfId="163" totalsRowDxfId="162"/>
    <tableColumn id="148" xr3:uid="{FAA6C084-CCB8-4621-93FB-FC75726EFDF9}" name="Landslide" dataDxfId="161" totalsRowDxfId="160"/>
    <tableColumn id="149" xr3:uid="{855ABF05-C480-4DA8-819A-F84D7EE8F1F7}" name="Sinkhole to Hazard Zone" dataDxfId="159" totalsRowDxfId="158"/>
    <tableColumn id="150" xr3:uid="{3369F272-B230-4E92-887E-B2F59D945D65}" name="Distance to Closest Sinkhole" dataDxfId="157" totalsRowDxfId="156"/>
    <tableColumn id="151" xr3:uid="{36478FE4-2F19-4CF9-9C31-BD7FBA212211}" name="Distance to Closest Mine" dataDxfId="155" totalsRowDxfId="154"/>
    <tableColumn id="152" xr3:uid="{A26A7F6E-620C-462C-8F53-B98D78B24A75}" name="Distance to Fault (miles)" dataDxfId="153" totalsRowDxfId="152"/>
    <tableColumn id="153" xr3:uid="{EDE3F6C6-221B-47E0-BADF-2437AAEBB078}" name="AP Zone" dataDxfId="151" totalsRowDxfId="150"/>
    <tableColumn id="154" xr3:uid="{F0CB8BEA-4061-4DCC-A165-56221FDE1784}" name="Slope" dataDxfId="149" totalsRowDxfId="148"/>
    <tableColumn id="155" xr3:uid="{FFAB4A5C-24D4-4BAC-BE08-010BFB3B4C8D}" name="MMI 250" dataDxfId="147" totalsRowDxfId="146"/>
    <tableColumn id="156" xr3:uid="{1976C563-B663-4FF8-8022-407BD8C18FBE}" name="Wildfire Hazard" dataDxfId="145" totalsRowDxfId="144"/>
    <tableColumn id="157" xr3:uid="{2AA452E0-58FA-4809-BD09-96F319ADA65C}" name="Wildfire Susceptibility" dataDxfId="143" totalsRowDxfId="142"/>
    <tableColumn id="158" xr3:uid="{53885A97-992B-4F4C-A214-05CC71E7FB9C}" name="Wildfire Threat" dataDxfId="141" totalsRowDxfId="140"/>
    <tableColumn id="159" xr3:uid="{F9B35B1C-8AE1-4E6A-84E6-3ACF5D4143B6}" name="Wildfire Area" dataDxfId="139" totalsRowDxfId="138"/>
    <tableColumn id="160" xr3:uid="{11B22150-166D-4D75-89DF-D38BEED787BE}" name="Wildfire Accessibility" dataDxfId="137" totalsRowDxfId="136"/>
    <tableColumn id="161" xr3:uid="{FD60F9BD-DBA7-414D-939C-C42F2E842A8F}" name="Wildfire Fuel Type" dataDxfId="135" totalsRowDxfId="134"/>
    <tableColumn id="162" xr3:uid="{D812CFB6-9E7E-498B-833C-78E74887B2A8}" name="WS GU AAL" dataDxfId="133" totalsRowDxfId="132"/>
    <tableColumn id="163" xr3:uid="{F4522651-C871-4E7C-871F-E1D15A75368D}" name="WS GR AAL" dataDxfId="131" totalsRowDxfId="130"/>
    <tableColumn id="164" xr3:uid="{4500037E-3DCC-4428-9501-CB206033152E}" name="EQ GU AAL" dataDxfId="129" totalsRowDxfId="128"/>
    <tableColumn id="165" xr3:uid="{216EDC31-B146-416A-966F-92C87D3F3DBF}" name="EQ GR AAL" dataDxfId="127" totalsRowDxfId="126"/>
    <tableColumn id="166" xr3:uid="{9453DFCA-5C4A-43E7-96B8-3444DB544E97}" name="SC GU AAL" dataDxfId="125" totalsRowDxfId="124"/>
    <tableColumn id="167" xr3:uid="{58AA0814-A735-40A5-9257-5E34B7762809}" name="SC GR AAL" dataDxfId="123" totalsRowDxfId="122"/>
    <tableColumn id="168" xr3:uid="{1054B7ED-30E6-4942-8C56-38C3EF83EE96}" name="WT GU AAL" dataDxfId="121" totalsRowDxfId="120"/>
    <tableColumn id="169" xr3:uid="{AD17C17E-353F-455F-9AF5-F1C89EBB9809}" name="WT GR AAL" dataDxfId="119" totalsRowDxfId="118"/>
    <tableColumn id="170" xr3:uid="{F8924112-B5A4-4BC6-8A70-CDD4DF020A2E}" name="EQ US" dataDxfId="117" totalsRowDxfId="116"/>
    <tableColumn id="171" xr3:uid="{620C5D1D-1E28-4BCB-99EA-6961DD9509F2}" name="EQ CA" dataDxfId="115" totalsRowDxfId="114"/>
    <tableColumn id="172" xr3:uid="{B8B74C37-F5C7-4702-959A-36A4E3F562E1}" name="SC" dataDxfId="113" totalsRowDxfId="112"/>
    <tableColumn id="173" xr3:uid="{37F4B2BA-1108-408A-A5DC-774C3540270F}" name="WT" dataDxfId="111" totalsRowDxfId="110"/>
    <tableColumn id="174" xr3:uid="{444F8372-7879-45A3-8C79-35CED9666CEB}" name="AdminExtn1GeoID" dataDxfId="109" totalsRowDxfId="108"/>
    <tableColumn id="175" xr3:uid="{DD9E2325-4940-4A95-81C0-812584989AE2}" name="AdminExtn1GeoID2" dataDxfId="107" totalsRowDxfId="106"/>
    <tableColumn id="176" xr3:uid="{4B29BFAF-D657-4780-9466-183DEBD0C80E}" name="CountryGeoID" dataDxfId="105" totalsRowDxfId="104"/>
    <tableColumn id="177" xr3:uid="{21A74FE3-5072-4071-A68F-F2C8610B71A4}" name="CountyCode" dataDxfId="103" totalsRowDxfId="102"/>
    <tableColumn id="178" xr3:uid="{6C60C26A-D06A-4EF3-BF04-4EEB5639A74B}" name="GeoDataSource" dataDxfId="101" totalsRowDxfId="100"/>
    <tableColumn id="179" xr3:uid="{51090D29-E9A6-4FDD-8D4C-946E6E23210F}" name="GeoDataSourceVersionID" dataDxfId="99" totalsRowDxfId="98"/>
    <tableColumn id="180" xr3:uid="{12B35D95-B60B-4C40-A286-3B7DED03315B}" name="GeoLocCode" dataDxfId="97" totalsRowDxfId="96"/>
    <tableColumn id="181" xr3:uid="{5F5A24CF-D74B-4101-8AB9-8E6106D61940}" name="GeoMatchCode" dataDxfId="95" totalsRowDxfId="94"/>
    <tableColumn id="182" xr3:uid="{1DEAD64B-1650-4F60-9EFB-C424394DB30B}" name="PostCodeExtnGeoID" dataDxfId="93" totalsRowDxfId="92"/>
    <tableColumn id="183" xr3:uid="{E7793122-6F51-44E8-847A-364F568B5AEC}" name="GeoProductVersion" dataDxfId="91" totalsRowDxfId="90"/>
    <tableColumn id="184" xr3:uid="{31E47512-4551-4D80-ADC3-D7BEEFA49A2F}" name="Locationcode" dataDxfId="89" totalsRowDxfId="88"/>
    <tableColumn id="185" xr3:uid="{D51C5999-13E0-49E6-AB38-949877E09A65}" name="Block" dataDxfId="87" totalsRowDxfId="86"/>
    <tableColumn id="186" xr3:uid="{16FD72C7-5589-429F-AAE3-EAC72B7CEAB0}" name="Blockgroup" dataDxfId="85" totalsRowDxfId="84"/>
    <tableColumn id="187" xr3:uid="{570C672B-D1D7-476A-B299-6F70A359792B}" name="Georesolutionconfidence" dataDxfId="83" totalsRowDxfId="82"/>
    <tableColumn id="188" xr3:uid="{8ABF3BCD-D894-4A60-ABD9-33554CCFB368}" name="Geoaccuracybuffer" dataDxfId="81" totalsRowDxfId="80"/>
    <tableColumn id="189" xr3:uid="{669C8846-1BD6-4BB5-B51D-3CE7ED8A9AF1}" name="FL" dataDxfId="79" totalsRowDxfId="78"/>
    <tableColumn id="190" xr3:uid="{DE3EEC68-0F4A-43AD-AE41-6A3F6238EA1F}" name="FR" dataDxfId="77" totalsRowDxfId="76"/>
    <tableColumn id="191" xr3:uid="{2B998A22-7510-4948-AC65-7328F3E09FA0}" name="TR" dataDxfId="75" totalsRowDxfId="74"/>
    <tableColumn id="192" xr3:uid="{AFABF8C5-717B-4191-9427-2FAF4081A736}" name="Sanborn Building ID" dataDxfId="73" totalsRowDxfId="72"/>
    <tableColumn id="193" xr3:uid="{A34033C5-F0B3-4069-BACA-7B675BE06CD7}" name="Sanborn Building Name" dataDxfId="71" totalsRowDxfId="70"/>
    <tableColumn id="194" xr3:uid="{82D5EC93-7C9D-4014-A962-B99D258013DD}" name="Downtown Business District" dataDxfId="69" totalsRowDxfId="68"/>
    <tableColumn id="195" xr3:uid="{79E643B5-1F9F-443C-BD4D-4EEF69A2B7A1}" name="FL Special Case" dataDxfId="67" totalsRowDxfId="66"/>
    <tableColumn id="196" xr3:uid="{84D7FB13-A348-4675-87F1-BB6174EDAA27}" name="FL Site Deductible" dataDxfId="65" totalsRowDxfId="64"/>
    <tableColumn id="197" xr3:uid="{266AC82E-352B-4CC1-8B86-63DDBD2A0B1F}" name="FL Building Deductible" dataDxfId="63" totalsRowDxfId="62"/>
    <tableColumn id="198" xr3:uid="{A4378846-FC84-44EB-A735-1B030D293382}" name="FL Contents Deductible" dataDxfId="61" totalsRowDxfId="60"/>
    <tableColumn id="199" xr3:uid="{EFA36051-222E-4F75-9E61-DB37DE4828CC}" name="FL BI Deductible" dataDxfId="59" totalsRowDxfId="58"/>
    <tableColumn id="200" xr3:uid="{1742B9BC-734C-4C5F-A480-74FF9F8BFF9F}" name="FR Site Deductible" dataDxfId="57" totalsRowDxfId="56"/>
    <tableColumn id="201" xr3:uid="{677998FF-58C0-43BC-80F1-DACAD539C8E7}" name="FR Building Deductible" dataDxfId="55" totalsRowDxfId="54"/>
    <tableColumn id="202" xr3:uid="{711FCD3D-330E-44B3-8261-926DF84C60B6}" name="FR Contents Deductible" dataDxfId="53" totalsRowDxfId="52"/>
    <tableColumn id="203" xr3:uid="{86681BBD-3D47-4ABE-9B56-77982325AB76}" name="FR BI Deductible" dataDxfId="51" totalsRowDxfId="50"/>
    <tableColumn id="204" xr3:uid="{3289471F-30EA-4941-899D-1B6865D75F0C}" name="TR Site Deductible" dataDxfId="49" totalsRowDxfId="48"/>
    <tableColumn id="205" xr3:uid="{08D29626-FC63-4FD9-8E3E-881582304E6A}" name="TR Building Deductible" dataDxfId="47" totalsRowDxfId="46"/>
    <tableColumn id="206" xr3:uid="{027349D4-9332-4471-A3C1-D81D2B53B668}" name="TR Contents Deductible" dataDxfId="45" totalsRowDxfId="44"/>
    <tableColumn id="207" xr3:uid="{CE898260-DA62-4971-BAF5-34D28752E3D2}" name="TR BI Deductible" dataDxfId="43" totalsRowDxfId="42"/>
    <tableColumn id="208" xr3:uid="{5B854A3B-7BBA-4DC8-852B-DCC86F2C01AF}" name="MS/B Valuation" dataDxfId="41" totalsRowDxfId="40"/>
    <tableColumn id="209" xr3:uid="{DA0744DF-3B1C-4512-AEAE-ADC6B99C67A8}" name="Valuation Difference (Percent)" dataDxfId="39" totalsRowDxfId="38"/>
    <tableColumn id="210" xr3:uid="{3CD49579-EF8A-4EF9-8533-12AEAE9645C9}" name="Valuation Difference (Amount)" dataDxfId="37" totalsRowDxfId="36"/>
    <tableColumn id="212" xr3:uid="{55FEF0CD-C31B-413A-818B-9FE1497A618A}" name="% Sprinklered" dataDxfId="35" totalsRowDxfId="34"/>
    <tableColumn id="215" xr3:uid="{9BA41F47-541F-48C3-90EC-B2BFD68613A5}" name="Wiring Type: _x000a__x000a_Copper,_x000a_Aluminum - Pigtailed,_x000a_Aluminum - Co/Alr,_x000a_Aluminum - Copalum,_x000a_Aluminum - Alumicon,_x000a_or Aluminum non-Remediated?" dataDxfId="33" totalsRowDxfId="32"/>
    <tableColumn id="232" xr3:uid="{DF9024BF-DD8A-4645-A802-8E56BE340E8C}" name="Are Stab Lok, Federal Pacific or Zinsco Circuit Breakers/Panels Present?" dataDxfId="31" totalsRowDxfId="30"/>
    <tableColumn id="216" xr3:uid="{199F06B7-2EA8-4EF8-B44A-F6B0CE5673DF}" name="# of units" dataDxfId="29" totalsRowDxfId="28"/>
    <tableColumn id="219" xr3:uid="{1F83A390-5A13-4A28-ABFD-7694FD6E36E5}" name="Year Last Roof Imporvement" dataDxfId="27" totalsRowDxfId="26"/>
    <tableColumn id="19" xr3:uid="{696A9A0F-BECF-4681-B027-40714EE765D7}" name="Roof Type (Built Up (BUR), Metal, TPO/PVC, EPDM, Shingle, etc)" dataDxfId="25" totalsRowDxfId="24"/>
    <tableColumn id="220" xr3:uid="{E1DDCB5F-2187-469C-8CB1-BB6559F24C0A}" name="Year Plumbing updated (if age of building &gt; 20 years)" dataDxfId="23" totalsRowDxfId="22"/>
    <tableColumn id="221" xr3:uid="{9BD0D093-8FA1-4581-A9D6-50EC31563F12}" name="Year Electric updated (if age of building &gt; 20 years)" dataDxfId="21" totalsRowDxfId="20"/>
    <tableColumn id="222" xr3:uid="{64667F07-F1F6-4E08-8C18-A458E9E66FBA}" name="Year HVAC updated (if age of building &gt; 20 years )" dataDxfId="19" totalsRowDxfId="18"/>
    <tableColumn id="224" xr3:uid="{809B00BF-C0B9-4B15-AE17-A4092941B052}" name="% Section 8" dataDxfId="17" totalsRowDxfId="16"/>
    <tableColumn id="225" xr3:uid="{43489DD5-35E8-4FCF-809A-7118B4A90361}" name="% Student Housing" dataDxfId="15" totalsRowDxfId="14"/>
    <tableColumn id="226" xr3:uid="{8F0A2E70-11FF-4648-A509-024380DE443E}" name="% senior housing" dataDxfId="13" totalsRowDxfId="12"/>
    <tableColumn id="227" xr3:uid="{7EB40690-0304-40AA-AD71-A6A3E5A64908}" name="% Assisted Living" dataDxfId="11" totalsRowDxfId="10"/>
    <tableColumn id="228" xr3:uid="{278F9E11-C31C-40FF-9B3E-100085E79CD2}" name="% occupied" dataDxfId="9" totalsRowDxfId="8"/>
    <tableColumn id="229" xr3:uid="{5BBFD68B-DA17-4046-A9C6-CFE31CF5B5AA}" name="Smoke Detectors (Hard Wired or Battery)" dataDxfId="7" totalsRowDxfId="6"/>
    <tableColumn id="213" xr3:uid="{FB93E485-7483-4C7E-9F7E-A10F43A9BCDB}" name="# Pools?" dataDxfId="5" totalsRowDxfId="4"/>
    <tableColumn id="214" xr3:uid="{3F1A22AD-BB51-4EF5-9D43-42100F88A6BE}" name="Miscellaneous Other information (EDITABLE)22" dataDxfId="3" totalsRowDxfId="2"/>
    <tableColumn id="217" xr3:uid="{9454BA2A-7389-4F52-842D-74FB291E5897}" name="Miscellaneous Other information (EDITABLE)3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CE039-BB7F-4C4A-81BF-DCAAE95DAF67}">
  <dimension ref="A1:HY128"/>
  <sheetViews>
    <sheetView tabSelected="1" workbookViewId="0">
      <selection activeCell="L139" sqref="L139"/>
    </sheetView>
  </sheetViews>
  <sheetFormatPr defaultColWidth="9.140625" defaultRowHeight="11.25" outlineLevelCol="1" x14ac:dyDescent="0.2"/>
  <cols>
    <col min="1" max="1" width="1.85546875" style="8" customWidth="1"/>
    <col min="2" max="2" width="7.85546875" style="8" bestFit="1" customWidth="1"/>
    <col min="3" max="3" width="7.85546875" style="8" customWidth="1"/>
    <col min="4" max="4" width="22.7109375" style="9" bestFit="1" customWidth="1"/>
    <col min="5" max="5" width="3.42578125" style="8" hidden="1" customWidth="1"/>
    <col min="6" max="6" width="3" style="8" hidden="1" customWidth="1"/>
    <col min="7" max="7" width="3.140625" style="8" hidden="1" customWidth="1"/>
    <col min="8" max="8" width="18.140625" style="8" hidden="1" customWidth="1"/>
    <col min="9" max="9" width="22.28515625" style="8" hidden="1" customWidth="1" outlineLevel="1"/>
    <col min="10" max="10" width="34.42578125" style="8" bestFit="1" customWidth="1" outlineLevel="1"/>
    <col min="11" max="11" width="12.7109375" style="82" bestFit="1" customWidth="1" outlineLevel="1"/>
    <col min="12" max="12" width="8.140625" style="8" customWidth="1" outlineLevel="1"/>
    <col min="13" max="13" width="8.28515625" style="13" customWidth="1" outlineLevel="1"/>
    <col min="14" max="14" width="9.85546875" style="8" customWidth="1" outlineLevel="1"/>
    <col min="15" max="15" width="9" style="8" hidden="1" customWidth="1" outlineLevel="1"/>
    <col min="16" max="16" width="16" style="8" hidden="1" customWidth="1" outlineLevel="1"/>
    <col min="17" max="17" width="8.7109375" style="8" hidden="1" customWidth="1" outlineLevel="1"/>
    <col min="18" max="18" width="9.28515625" style="8" hidden="1" customWidth="1"/>
    <col min="19" max="19" width="14.140625" style="8" bestFit="1" customWidth="1"/>
    <col min="20" max="20" width="12.85546875" style="8" bestFit="1" customWidth="1" outlineLevel="1"/>
    <col min="21" max="21" width="12.85546875" style="8" customWidth="1" outlineLevel="1"/>
    <col min="22" max="22" width="11" style="8" bestFit="1" customWidth="1"/>
    <col min="23" max="23" width="8.42578125" style="8" hidden="1" customWidth="1"/>
    <col min="24" max="24" width="14" style="8" hidden="1" customWidth="1" outlineLevel="1"/>
    <col min="25" max="25" width="15.7109375" style="8" hidden="1" customWidth="1" outlineLevel="1"/>
    <col min="26" max="26" width="19.140625" style="8" hidden="1" customWidth="1" outlineLevel="1"/>
    <col min="27" max="27" width="20.140625" style="8" hidden="1" customWidth="1" outlineLevel="1"/>
    <col min="28" max="28" width="14.140625" style="8" hidden="1" customWidth="1" outlineLevel="1"/>
    <col min="29" max="29" width="13.5703125" style="8" hidden="1" customWidth="1" outlineLevel="1"/>
    <col min="30" max="30" width="15.28515625" style="8" hidden="1" customWidth="1" outlineLevel="1"/>
    <col min="31" max="31" width="18.7109375" style="8" hidden="1" customWidth="1" outlineLevel="1"/>
    <col min="32" max="32" width="19.7109375" style="8" hidden="1" customWidth="1" outlineLevel="1"/>
    <col min="33" max="34" width="13.7109375" style="8" hidden="1" customWidth="1" outlineLevel="1"/>
    <col min="35" max="35" width="15.42578125" style="8" hidden="1" customWidth="1" outlineLevel="1"/>
    <col min="36" max="36" width="18.85546875" style="8" hidden="1" customWidth="1" outlineLevel="1"/>
    <col min="37" max="37" width="19.85546875" style="8" hidden="1" customWidth="1" outlineLevel="1"/>
    <col min="38" max="38" width="13.85546875" style="8" hidden="1" customWidth="1" outlineLevel="1"/>
    <col min="39" max="39" width="19.7109375" style="8" hidden="1" customWidth="1" collapsed="1"/>
    <col min="40" max="40" width="18.42578125" style="8" hidden="1" customWidth="1"/>
    <col min="41" max="41" width="16.28515625" style="8" hidden="1" customWidth="1" outlineLevel="1"/>
    <col min="42" max="42" width="20" style="8" bestFit="1" customWidth="1" outlineLevel="1"/>
    <col min="43" max="43" width="16.42578125" style="8" hidden="1" customWidth="1" outlineLevel="1"/>
    <col min="44" max="44" width="10.5703125" style="8" hidden="1" customWidth="1" outlineLevel="1"/>
    <col min="45" max="45" width="13.5703125" style="8" customWidth="1" outlineLevel="1"/>
    <col min="46" max="46" width="15.7109375" style="8" bestFit="1" customWidth="1" outlineLevel="1"/>
    <col min="47" max="47" width="12.5703125" style="8" hidden="1" customWidth="1" outlineLevel="1"/>
    <col min="48" max="48" width="8.7109375" style="13" hidden="1" customWidth="1" outlineLevel="1"/>
    <col min="49" max="49" width="14.140625" style="13" hidden="1" customWidth="1" outlineLevel="1"/>
    <col min="50" max="50" width="15.42578125" style="8" hidden="1" customWidth="1" outlineLevel="1"/>
    <col min="51" max="51" width="6.28515625" style="8" hidden="1" customWidth="1" outlineLevel="1"/>
    <col min="52" max="52" width="15.5703125" style="8" bestFit="1" customWidth="1" outlineLevel="1"/>
    <col min="53" max="53" width="9.5703125" style="8" bestFit="1" customWidth="1" outlineLevel="1"/>
    <col min="54" max="54" width="12.42578125" style="8" hidden="1" customWidth="1" outlineLevel="1"/>
    <col min="55" max="55" width="20" style="8" hidden="1" customWidth="1" outlineLevel="1"/>
    <col min="56" max="56" width="23.5703125" style="8" hidden="1" customWidth="1" outlineLevel="1"/>
    <col min="57" max="57" width="21" style="8" hidden="1" customWidth="1" outlineLevel="1"/>
    <col min="58" max="59" width="14.7109375" style="8" hidden="1" customWidth="1"/>
    <col min="60" max="60" width="11.85546875" style="8" hidden="1" customWidth="1"/>
    <col min="61" max="61" width="12.140625" style="8" hidden="1" customWidth="1" outlineLevel="1"/>
    <col min="62" max="62" width="13.28515625" style="8" hidden="1" customWidth="1" outlineLevel="1"/>
    <col min="63" max="63" width="13.7109375" style="8" hidden="1" customWidth="1" outlineLevel="1"/>
    <col min="64" max="64" width="11" style="8" hidden="1" customWidth="1" outlineLevel="1"/>
    <col min="65" max="65" width="11.85546875" style="8" hidden="1" customWidth="1" outlineLevel="1"/>
    <col min="66" max="66" width="14.28515625" style="8" hidden="1" customWidth="1" outlineLevel="1"/>
    <col min="67" max="67" width="10.5703125" style="8" hidden="1" customWidth="1" outlineLevel="1"/>
    <col min="68" max="68" width="10.7109375" style="8" hidden="1" customWidth="1" outlineLevel="1"/>
    <col min="69" max="69" width="15.28515625" style="8" hidden="1" customWidth="1" outlineLevel="1"/>
    <col min="70" max="70" width="32.42578125" style="8" hidden="1" customWidth="1" outlineLevel="1"/>
    <col min="71" max="71" width="12.5703125" style="8" hidden="1" customWidth="1" outlineLevel="1"/>
    <col min="72" max="72" width="23.85546875" style="8" hidden="1" customWidth="1" outlineLevel="1"/>
    <col min="73" max="73" width="11.42578125" style="8" hidden="1" customWidth="1" outlineLevel="1"/>
    <col min="74" max="74" width="19.7109375" style="8" hidden="1" customWidth="1" outlineLevel="1"/>
    <col min="75" max="75" width="20.140625" style="8" hidden="1" customWidth="1" outlineLevel="1"/>
    <col min="76" max="76" width="23.85546875" style="8" hidden="1" customWidth="1" outlineLevel="1"/>
    <col min="77" max="77" width="24.28515625" style="8" hidden="1" customWidth="1" outlineLevel="1"/>
    <col min="78" max="78" width="8.28515625" style="8" hidden="1" customWidth="1" outlineLevel="1"/>
    <col min="79" max="79" width="13.5703125" style="8" hidden="1" customWidth="1" outlineLevel="1"/>
    <col min="80" max="80" width="10.42578125" style="8" hidden="1" customWidth="1" outlineLevel="1"/>
    <col min="81" max="81" width="23" style="8" hidden="1" customWidth="1" outlineLevel="1"/>
    <col min="82" max="82" width="28.140625" style="8" hidden="1" customWidth="1" outlineLevel="1"/>
    <col min="83" max="83" width="19.85546875" style="8" hidden="1" customWidth="1" outlineLevel="1"/>
    <col min="84" max="84" width="38.140625" style="8" hidden="1" customWidth="1" outlineLevel="1"/>
    <col min="85" max="85" width="15.85546875" style="8" hidden="1" customWidth="1" outlineLevel="1"/>
    <col min="86" max="86" width="9.7109375" style="8" hidden="1" customWidth="1" collapsed="1"/>
    <col min="87" max="87" width="10.85546875" style="8" hidden="1" customWidth="1"/>
    <col min="88" max="88" width="9" style="8" hidden="1" customWidth="1" outlineLevel="1"/>
    <col min="89" max="89" width="11.85546875" style="8" hidden="1" customWidth="1" outlineLevel="1"/>
    <col min="90" max="90" width="9.5703125" style="8" hidden="1" customWidth="1" outlineLevel="1"/>
    <col min="91" max="91" width="11.85546875" style="8" hidden="1" customWidth="1" outlineLevel="1"/>
    <col min="92" max="92" width="19.140625" style="8" hidden="1" customWidth="1" outlineLevel="1"/>
    <col min="93" max="93" width="12.7109375" style="8" hidden="1" customWidth="1" outlineLevel="1"/>
    <col min="94" max="94" width="11.28515625" style="8" hidden="1" customWidth="1" outlineLevel="1"/>
    <col min="95" max="95" width="11.42578125" style="8" hidden="1" customWidth="1" outlineLevel="1"/>
    <col min="96" max="96" width="9.140625" style="8" hidden="1" customWidth="1" outlineLevel="1"/>
    <col min="97" max="97" width="8.7109375" style="8" hidden="1" customWidth="1" outlineLevel="1"/>
    <col min="98" max="98" width="11.140625" style="8" hidden="1" customWidth="1" outlineLevel="1"/>
    <col min="99" max="99" width="14" style="8" hidden="1" customWidth="1" outlineLevel="1"/>
    <col min="100" max="100" width="11.42578125" style="8" hidden="1" customWidth="1" outlineLevel="1"/>
    <col min="101" max="101" width="11" style="8" hidden="1" customWidth="1" outlineLevel="1"/>
    <col min="102" max="102" width="8.42578125" style="8" hidden="1" customWidth="1" outlineLevel="1"/>
    <col min="103" max="103" width="14.140625" style="8" hidden="1" customWidth="1" outlineLevel="1"/>
    <col min="104" max="104" width="10.42578125" style="8" hidden="1" customWidth="1" outlineLevel="1"/>
    <col min="105" max="105" width="16.140625" style="8" hidden="1" customWidth="1" outlineLevel="1"/>
    <col min="106" max="106" width="12" style="8" hidden="1" customWidth="1" outlineLevel="1"/>
    <col min="107" max="107" width="13.140625" style="8" hidden="1" customWidth="1" collapsed="1"/>
    <col min="108" max="108" width="14.28515625" style="8" hidden="1" customWidth="1"/>
    <col min="109" max="109" width="12.42578125" style="8" hidden="1" customWidth="1"/>
    <col min="110" max="110" width="20.42578125" style="8" hidden="1" customWidth="1"/>
    <col min="111" max="111" width="19.7109375" style="8" hidden="1" customWidth="1"/>
    <col min="112" max="112" width="6.85546875" style="8" hidden="1" customWidth="1"/>
    <col min="113" max="113" width="19.85546875" style="8" hidden="1" customWidth="1"/>
    <col min="114" max="114" width="18.5703125" style="8" hidden="1" customWidth="1" outlineLevel="1"/>
    <col min="115" max="115" width="14.85546875" style="8" hidden="1" customWidth="1" outlineLevel="1"/>
    <col min="116" max="116" width="17.85546875" style="8" hidden="1" customWidth="1" outlineLevel="1"/>
    <col min="117" max="117" width="10.7109375" style="8" hidden="1" customWidth="1" outlineLevel="1"/>
    <col min="118" max="118" width="15.5703125" style="8" hidden="1" customWidth="1" outlineLevel="1"/>
    <col min="119" max="119" width="14.7109375" style="8" hidden="1" customWidth="1" outlineLevel="1"/>
    <col min="120" max="120" width="13.42578125" style="8" hidden="1" customWidth="1" outlineLevel="1"/>
    <col min="121" max="121" width="22.42578125" style="8" hidden="1" customWidth="1" outlineLevel="1"/>
    <col min="122" max="122" width="14.85546875" style="8" hidden="1" customWidth="1" outlineLevel="1"/>
    <col min="123" max="123" width="25.5703125" style="8" hidden="1" customWidth="1" outlineLevel="1"/>
    <col min="124" max="124" width="19" style="8" hidden="1" customWidth="1" outlineLevel="1"/>
    <col min="125" max="125" width="22" style="8" hidden="1" customWidth="1" outlineLevel="1"/>
    <col min="126" max="126" width="26.7109375" style="8" hidden="1" customWidth="1" outlineLevel="1"/>
    <col min="127" max="127" width="35.5703125" style="8" hidden="1" customWidth="1" outlineLevel="1"/>
    <col min="128" max="128" width="25.85546875" style="8" hidden="1" customWidth="1" outlineLevel="1"/>
    <col min="129" max="129" width="18.7109375" style="8" hidden="1" customWidth="1" outlineLevel="1"/>
    <col min="130" max="130" width="31.5703125" style="8" hidden="1" customWidth="1" outlineLevel="1"/>
    <col min="131" max="131" width="32.7109375" style="8" hidden="1" customWidth="1" outlineLevel="1"/>
    <col min="132" max="132" width="14.7109375" style="8" hidden="1" customWidth="1" outlineLevel="1"/>
    <col min="133" max="133" width="28.7109375" style="8" hidden="1" customWidth="1" outlineLevel="1"/>
    <col min="134" max="134" width="34" style="8" hidden="1" customWidth="1" outlineLevel="1"/>
    <col min="135" max="135" width="15.85546875" style="8" hidden="1" customWidth="1" outlineLevel="1"/>
    <col min="136" max="136" width="16.7109375" style="8" hidden="1" customWidth="1" outlineLevel="1"/>
    <col min="137" max="137" width="12.7109375" style="8" hidden="1" customWidth="1" outlineLevel="1"/>
    <col min="138" max="138" width="13.5703125" style="8" hidden="1" customWidth="1" outlineLevel="1"/>
    <col min="139" max="139" width="11.5703125" style="8" hidden="1" customWidth="1" outlineLevel="1"/>
    <col min="140" max="140" width="11" style="8" hidden="1" customWidth="1" collapsed="1"/>
    <col min="141" max="141" width="31" style="8" hidden="1" customWidth="1"/>
    <col min="142" max="142" width="14.85546875" style="8" hidden="1" customWidth="1"/>
    <col min="143" max="143" width="19.28515625" style="8" hidden="1" customWidth="1"/>
    <col min="144" max="144" width="26.5703125" style="8" hidden="1" customWidth="1"/>
    <col min="145" max="145" width="21.7109375" style="8" hidden="1" customWidth="1"/>
    <col min="146" max="146" width="21" style="8" hidden="1" customWidth="1"/>
    <col min="147" max="147" width="12.7109375" style="8" hidden="1" customWidth="1" outlineLevel="1"/>
    <col min="148" max="148" width="5.5703125" style="8" customWidth="1" outlineLevel="1"/>
    <col min="149" max="150" width="15.7109375" style="8" hidden="1" customWidth="1" outlineLevel="1"/>
    <col min="151" max="151" width="10.7109375" style="8" hidden="1" customWidth="1" outlineLevel="1"/>
    <col min="152" max="152" width="8.7109375" style="8" hidden="1" customWidth="1" outlineLevel="1"/>
    <col min="153" max="153" width="20.28515625" style="8" hidden="1" customWidth="1" outlineLevel="1"/>
    <col min="154" max="154" width="24" style="8" hidden="1" customWidth="1" outlineLevel="1"/>
    <col min="155" max="155" width="20.85546875" style="8" hidden="1" customWidth="1" outlineLevel="1"/>
    <col min="156" max="156" width="20.140625" style="8" hidden="1" customWidth="1" outlineLevel="1"/>
    <col min="157" max="157" width="7.5703125" style="8" hidden="1" customWidth="1" outlineLevel="1"/>
    <col min="158" max="158" width="5.42578125" style="8" hidden="1" customWidth="1" outlineLevel="1"/>
    <col min="159" max="159" width="7.28515625" style="8" hidden="1" customWidth="1" outlineLevel="1"/>
    <col min="160" max="160" width="12.7109375" style="8" hidden="1" customWidth="1" outlineLevel="1"/>
    <col min="161" max="161" width="18.28515625" style="8" hidden="1" customWidth="1" outlineLevel="1"/>
    <col min="162" max="162" width="12.5703125" style="8" hidden="1" customWidth="1" outlineLevel="1"/>
    <col min="163" max="163" width="11.140625" style="8" hidden="1" customWidth="1" outlineLevel="1"/>
    <col min="164" max="164" width="17.7109375" style="8" hidden="1" customWidth="1" outlineLevel="1"/>
    <col min="165" max="165" width="15.140625" style="8" hidden="1" customWidth="1"/>
    <col min="166" max="167" width="9.7109375" style="8" hidden="1" customWidth="1"/>
    <col min="168" max="169" width="9.28515625" style="8" hidden="1" customWidth="1"/>
    <col min="170" max="171" width="9.42578125" style="8" hidden="1" customWidth="1"/>
    <col min="172" max="173" width="9.7109375" style="8" hidden="1" customWidth="1"/>
    <col min="174" max="174" width="5.42578125" style="8" hidden="1" customWidth="1"/>
    <col min="175" max="175" width="5.7109375" style="8" hidden="1" customWidth="1"/>
    <col min="176" max="176" width="3.140625" style="8" hidden="1" customWidth="1"/>
    <col min="177" max="177" width="3.42578125" style="8" hidden="1" customWidth="1"/>
    <col min="178" max="178" width="15" style="8" hidden="1" customWidth="1"/>
    <col min="179" max="179" width="15.85546875" style="8" hidden="1" customWidth="1"/>
    <col min="180" max="180" width="11.85546875" style="8" hidden="1" customWidth="1"/>
    <col min="181" max="181" width="10.7109375" style="8" hidden="1" customWidth="1"/>
    <col min="182" max="182" width="13.140625" style="8" hidden="1" customWidth="1"/>
    <col min="183" max="183" width="21" style="8" hidden="1" customWidth="1"/>
    <col min="184" max="184" width="11.140625" style="8" hidden="1" customWidth="1"/>
    <col min="185" max="185" width="13.140625" style="8" hidden="1" customWidth="1"/>
    <col min="186" max="187" width="16.7109375" style="8" hidden="1" customWidth="1"/>
    <col min="188" max="188" width="11.5703125" style="13" hidden="1" customWidth="1"/>
    <col min="189" max="189" width="5.28515625" style="13" hidden="1" customWidth="1"/>
    <col min="190" max="190" width="10" style="8" hidden="1" customWidth="1"/>
    <col min="191" max="191" width="21.42578125" style="8" hidden="1" customWidth="1"/>
    <col min="192" max="192" width="16" style="8" hidden="1" customWidth="1"/>
    <col min="193" max="194" width="2.85546875" style="8" hidden="1" customWidth="1"/>
    <col min="195" max="195" width="3" style="8" hidden="1" customWidth="1"/>
    <col min="196" max="196" width="16.28515625" style="8" hidden="1" customWidth="1"/>
    <col min="197" max="197" width="19.42578125" style="8" hidden="1" customWidth="1"/>
    <col min="198" max="198" width="23.7109375" style="8" hidden="1" customWidth="1"/>
    <col min="199" max="199" width="13.42578125" style="8" hidden="1" customWidth="1"/>
    <col min="200" max="200" width="15.140625" style="8" hidden="1" customWidth="1"/>
    <col min="201" max="201" width="18.5703125" style="8" hidden="1" customWidth="1"/>
    <col min="202" max="202" width="19.5703125" style="8" hidden="1" customWidth="1"/>
    <col min="203" max="203" width="13.5703125" style="8" hidden="1" customWidth="1"/>
    <col min="204" max="204" width="15.140625" style="8" hidden="1" customWidth="1"/>
    <col min="205" max="205" width="18.5703125" style="8" hidden="1" customWidth="1"/>
    <col min="206" max="206" width="19.5703125" style="8" hidden="1" customWidth="1"/>
    <col min="207" max="207" width="13.5703125" style="8" hidden="1" customWidth="1"/>
    <col min="208" max="208" width="15.28515625" style="8" hidden="1" customWidth="1"/>
    <col min="209" max="209" width="18.7109375" style="8" hidden="1" customWidth="1"/>
    <col min="210" max="210" width="19.7109375" style="8" hidden="1" customWidth="1"/>
    <col min="211" max="211" width="13.7109375" style="8" hidden="1" customWidth="1"/>
    <col min="212" max="212" width="12.5703125" style="8" hidden="1" customWidth="1"/>
    <col min="213" max="213" width="25" style="8" hidden="1" customWidth="1"/>
    <col min="214" max="214" width="25.140625" style="8" hidden="1" customWidth="1"/>
    <col min="215" max="215" width="15" style="8" bestFit="1" customWidth="1"/>
    <col min="216" max="216" width="19.140625" style="8" hidden="1" customWidth="1"/>
    <col min="217" max="217" width="22.85546875" style="8" hidden="1" customWidth="1"/>
    <col min="218" max="218" width="8.85546875" style="8" bestFit="1" customWidth="1"/>
    <col min="219" max="219" width="9.7109375" style="8" bestFit="1" customWidth="1"/>
    <col min="220" max="220" width="29" style="8" bestFit="1" customWidth="1"/>
    <col min="221" max="221" width="19.42578125" style="8" bestFit="1" customWidth="1"/>
    <col min="222" max="223" width="11.85546875" style="8" bestFit="1" customWidth="1"/>
    <col min="224" max="224" width="7.5703125" style="8" bestFit="1" customWidth="1"/>
    <col min="225" max="225" width="4" style="8" customWidth="1"/>
    <col min="226" max="226" width="7.5703125" style="8" bestFit="1" customWidth="1"/>
    <col min="227" max="227" width="4.28515625" style="8" customWidth="1"/>
    <col min="228" max="228" width="5" style="8" customWidth="1"/>
    <col min="229" max="229" width="22.42578125" style="8" bestFit="1" customWidth="1"/>
    <col min="230" max="231" width="13.5703125" style="8" customWidth="1"/>
    <col min="232" max="232" width="20.7109375" style="8" customWidth="1"/>
    <col min="233" max="16384" width="9.140625" style="8"/>
  </cols>
  <sheetData>
    <row r="1" spans="1:233" ht="12" thickBot="1" x14ac:dyDescent="0.25">
      <c r="J1" s="10"/>
      <c r="K1" s="11"/>
      <c r="L1" s="10"/>
      <c r="M1" s="12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233" s="14" customFormat="1" ht="15.75" thickBot="1" x14ac:dyDescent="0.3">
      <c r="B2" s="15" t="s">
        <v>3</v>
      </c>
      <c r="C2" s="16"/>
      <c r="D2" s="17"/>
      <c r="E2" s="18"/>
      <c r="F2" s="18"/>
      <c r="G2" s="19"/>
      <c r="J2" s="89" t="s">
        <v>240</v>
      </c>
      <c r="K2" s="90"/>
      <c r="L2" s="90"/>
      <c r="M2" s="91"/>
      <c r="N2" s="20"/>
      <c r="S2" s="15" t="s">
        <v>4</v>
      </c>
      <c r="T2" s="18"/>
      <c r="U2" s="18"/>
      <c r="V2" s="21"/>
      <c r="W2" s="22"/>
      <c r="X2" s="1"/>
      <c r="Y2" s="1"/>
      <c r="Z2" s="92" t="s">
        <v>5</v>
      </c>
      <c r="AA2" s="92"/>
      <c r="AB2" s="92"/>
      <c r="AC2" s="92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2"/>
      <c r="AP2" s="23"/>
      <c r="AT2" s="20"/>
      <c r="AV2" s="24"/>
      <c r="AW2" s="24"/>
      <c r="GF2" s="24"/>
      <c r="GG2" s="24"/>
    </row>
    <row r="3" spans="1:233" ht="12" thickBot="1" x14ac:dyDescent="0.25">
      <c r="B3" s="10"/>
      <c r="C3" s="10"/>
      <c r="D3" s="25"/>
      <c r="E3" s="10"/>
      <c r="F3" s="10"/>
      <c r="G3" s="10"/>
      <c r="H3" s="10"/>
      <c r="I3" s="10"/>
      <c r="J3" s="3"/>
      <c r="K3" s="26"/>
      <c r="L3" s="3"/>
      <c r="M3" s="4"/>
      <c r="N3" s="10"/>
      <c r="O3" s="10"/>
      <c r="P3" s="10"/>
      <c r="Q3" s="10"/>
      <c r="R3" s="10"/>
      <c r="S3" s="10"/>
      <c r="T3" s="10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10"/>
      <c r="AU3" s="10"/>
      <c r="AV3" s="12"/>
      <c r="AW3" s="12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2"/>
      <c r="GG3" s="12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</row>
    <row r="4" spans="1:233" ht="15.75" thickBot="1" x14ac:dyDescent="0.3">
      <c r="B4" s="93" t="s">
        <v>6</v>
      </c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5"/>
      <c r="S4" s="93" t="s">
        <v>7</v>
      </c>
      <c r="T4" s="94"/>
      <c r="U4" s="94"/>
      <c r="V4" s="95"/>
      <c r="W4" s="96" t="s">
        <v>8</v>
      </c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7" t="s">
        <v>9</v>
      </c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27"/>
      <c r="BH4" s="98" t="s">
        <v>10</v>
      </c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9"/>
      <c r="CI4" s="100" t="s">
        <v>11</v>
      </c>
      <c r="CJ4" s="101"/>
      <c r="CK4" s="101"/>
      <c r="CL4" s="101"/>
      <c r="CM4" s="101"/>
      <c r="CN4" s="101"/>
      <c r="CO4" s="101"/>
      <c r="CP4" s="101"/>
      <c r="CQ4" s="101"/>
      <c r="CR4" s="101"/>
      <c r="CS4" s="101"/>
      <c r="CT4" s="101"/>
      <c r="CU4" s="101"/>
      <c r="CV4" s="101"/>
      <c r="CW4" s="101"/>
      <c r="CX4" s="101"/>
      <c r="CY4" s="101"/>
      <c r="CZ4" s="101"/>
      <c r="DA4" s="101"/>
      <c r="DB4" s="101"/>
      <c r="DC4" s="102"/>
      <c r="DD4" s="103" t="s">
        <v>12</v>
      </c>
      <c r="DE4" s="96"/>
      <c r="DF4" s="96"/>
      <c r="DG4" s="96"/>
      <c r="DH4" s="96"/>
      <c r="DI4" s="96" t="s">
        <v>13</v>
      </c>
      <c r="DJ4" s="96"/>
      <c r="DK4" s="96"/>
      <c r="DL4" s="96"/>
      <c r="DM4" s="96"/>
      <c r="DN4" s="96"/>
      <c r="DO4" s="96"/>
      <c r="DP4" s="96"/>
      <c r="DQ4" s="96"/>
      <c r="DR4" s="96"/>
      <c r="DS4" s="96"/>
      <c r="DT4" s="96"/>
      <c r="DU4" s="96"/>
      <c r="DV4" s="96"/>
      <c r="DW4" s="96"/>
      <c r="DX4" s="96"/>
      <c r="DY4" s="96"/>
      <c r="DZ4" s="96"/>
      <c r="EA4" s="96"/>
      <c r="EB4" s="96"/>
      <c r="EC4" s="96"/>
      <c r="ED4" s="96"/>
      <c r="EE4" s="96"/>
      <c r="EF4" s="96"/>
      <c r="EG4" s="96"/>
      <c r="EH4" s="96"/>
      <c r="EI4" s="96"/>
      <c r="EJ4" s="96"/>
      <c r="EK4" s="28" t="s">
        <v>14</v>
      </c>
      <c r="EL4" s="96" t="s">
        <v>15</v>
      </c>
      <c r="EM4" s="96"/>
      <c r="EN4" s="96"/>
      <c r="EO4" s="104"/>
      <c r="EP4" s="105" t="s">
        <v>16</v>
      </c>
      <c r="EQ4" s="106"/>
      <c r="ER4" s="106"/>
      <c r="ES4" s="106"/>
      <c r="ET4" s="106"/>
      <c r="EU4" s="106"/>
      <c r="EV4" s="106"/>
      <c r="EW4" s="106"/>
      <c r="EX4" s="106"/>
      <c r="EY4" s="106"/>
      <c r="EZ4" s="106"/>
      <c r="FA4" s="106"/>
      <c r="FB4" s="106"/>
      <c r="FC4" s="106"/>
      <c r="FD4" s="106"/>
      <c r="FE4" s="106"/>
      <c r="FF4" s="106"/>
      <c r="FG4" s="106"/>
      <c r="FH4" s="106"/>
      <c r="FI4" s="106"/>
      <c r="FJ4" s="106"/>
      <c r="FK4" s="106"/>
      <c r="FL4" s="106"/>
      <c r="FM4" s="106"/>
      <c r="FN4" s="106"/>
      <c r="FO4" s="106"/>
      <c r="FP4" s="106"/>
      <c r="FQ4" s="106"/>
      <c r="FR4" s="106"/>
      <c r="FS4" s="106"/>
      <c r="FT4" s="106"/>
      <c r="FU4" s="106"/>
      <c r="FV4" s="106"/>
      <c r="FW4" s="106"/>
      <c r="FX4" s="106"/>
      <c r="FY4" s="106"/>
      <c r="FZ4" s="106"/>
      <c r="GA4" s="106"/>
      <c r="GB4" s="106"/>
      <c r="GC4" s="106"/>
      <c r="GD4" s="106"/>
      <c r="GE4" s="106"/>
      <c r="GF4" s="106"/>
      <c r="GG4" s="106"/>
      <c r="GH4" s="106"/>
      <c r="GI4" s="106"/>
      <c r="GJ4" s="106"/>
      <c r="GK4" s="106"/>
      <c r="GL4" s="106"/>
      <c r="GM4" s="106"/>
      <c r="GN4" s="106"/>
      <c r="GO4" s="106"/>
      <c r="GP4" s="106"/>
      <c r="GQ4" s="106"/>
      <c r="GR4" s="106"/>
      <c r="GS4" s="106"/>
      <c r="GT4" s="106"/>
      <c r="GU4" s="106"/>
      <c r="GV4" s="106"/>
      <c r="GW4" s="106"/>
      <c r="GX4" s="106"/>
      <c r="GY4" s="106"/>
      <c r="GZ4" s="106"/>
      <c r="HA4" s="106"/>
      <c r="HB4" s="106"/>
      <c r="HC4" s="106"/>
      <c r="HD4" s="106"/>
      <c r="HE4" s="106"/>
      <c r="HF4" s="106"/>
      <c r="HG4" s="107"/>
      <c r="HH4" s="83" t="s">
        <v>17</v>
      </c>
      <c r="HI4" s="84"/>
      <c r="HJ4" s="84"/>
      <c r="HK4" s="84"/>
      <c r="HL4" s="84"/>
      <c r="HM4" s="84"/>
      <c r="HN4" s="84"/>
      <c r="HO4" s="84"/>
      <c r="HP4" s="84"/>
      <c r="HQ4" s="84"/>
      <c r="HR4" s="84"/>
      <c r="HS4" s="84"/>
      <c r="HT4" s="84"/>
      <c r="HU4" s="85"/>
      <c r="HV4" s="86" t="s">
        <v>18</v>
      </c>
      <c r="HW4" s="87"/>
      <c r="HX4" s="88"/>
      <c r="HY4" s="29"/>
    </row>
    <row r="5" spans="1:233" s="30" customFormat="1" ht="112.5" customHeight="1" thickBot="1" x14ac:dyDescent="0.3">
      <c r="B5" s="31" t="s">
        <v>241</v>
      </c>
      <c r="C5" s="31" t="s">
        <v>242</v>
      </c>
      <c r="D5" s="32" t="s">
        <v>243</v>
      </c>
      <c r="E5" s="32" t="s">
        <v>19</v>
      </c>
      <c r="F5" s="32" t="s">
        <v>20</v>
      </c>
      <c r="G5" s="32" t="s">
        <v>21</v>
      </c>
      <c r="H5" s="32" t="s">
        <v>22</v>
      </c>
      <c r="I5" s="32" t="s">
        <v>23</v>
      </c>
      <c r="J5" s="32" t="s">
        <v>24</v>
      </c>
      <c r="K5" s="32" t="s">
        <v>25</v>
      </c>
      <c r="L5" s="32" t="s">
        <v>26</v>
      </c>
      <c r="M5" s="33" t="s">
        <v>27</v>
      </c>
      <c r="N5" s="32" t="s">
        <v>28</v>
      </c>
      <c r="O5" s="31" t="s">
        <v>29</v>
      </c>
      <c r="P5" s="32" t="s">
        <v>30</v>
      </c>
      <c r="Q5" s="32" t="s">
        <v>31</v>
      </c>
      <c r="R5" s="32" t="s">
        <v>32</v>
      </c>
      <c r="S5" s="32" t="s">
        <v>33</v>
      </c>
      <c r="T5" s="32" t="s">
        <v>34</v>
      </c>
      <c r="U5" s="32" t="s">
        <v>35</v>
      </c>
      <c r="V5" s="32" t="s">
        <v>0</v>
      </c>
      <c r="W5" s="34" t="s">
        <v>36</v>
      </c>
      <c r="X5" s="34" t="s">
        <v>37</v>
      </c>
      <c r="Y5" s="34" t="s">
        <v>38</v>
      </c>
      <c r="Z5" s="34" t="s">
        <v>39</v>
      </c>
      <c r="AA5" s="34" t="s">
        <v>40</v>
      </c>
      <c r="AB5" s="34" t="s">
        <v>41</v>
      </c>
      <c r="AC5" s="34" t="s">
        <v>42</v>
      </c>
      <c r="AD5" s="34" t="s">
        <v>43</v>
      </c>
      <c r="AE5" s="34" t="s">
        <v>44</v>
      </c>
      <c r="AF5" s="34" t="s">
        <v>45</v>
      </c>
      <c r="AG5" s="34" t="s">
        <v>46</v>
      </c>
      <c r="AH5" s="34" t="s">
        <v>47</v>
      </c>
      <c r="AI5" s="34" t="s">
        <v>48</v>
      </c>
      <c r="AJ5" s="34" t="s">
        <v>49</v>
      </c>
      <c r="AK5" s="34" t="s">
        <v>50</v>
      </c>
      <c r="AL5" s="34" t="s">
        <v>51</v>
      </c>
      <c r="AM5" s="34" t="s">
        <v>52</v>
      </c>
      <c r="AN5" s="35" t="s">
        <v>53</v>
      </c>
      <c r="AO5" s="35" t="s">
        <v>54</v>
      </c>
      <c r="AP5" s="35" t="s">
        <v>55</v>
      </c>
      <c r="AQ5" s="35" t="s">
        <v>56</v>
      </c>
      <c r="AR5" s="35" t="s">
        <v>57</v>
      </c>
      <c r="AS5" s="35" t="s">
        <v>58</v>
      </c>
      <c r="AT5" s="35" t="s">
        <v>59</v>
      </c>
      <c r="AU5" s="35" t="s">
        <v>60</v>
      </c>
      <c r="AV5" s="36" t="s">
        <v>61</v>
      </c>
      <c r="AW5" s="36" t="s">
        <v>62</v>
      </c>
      <c r="AX5" s="35" t="s">
        <v>63</v>
      </c>
      <c r="AY5" s="35" t="s">
        <v>64</v>
      </c>
      <c r="AZ5" s="35" t="s">
        <v>65</v>
      </c>
      <c r="BA5" s="35" t="s">
        <v>66</v>
      </c>
      <c r="BB5" s="34" t="s">
        <v>67</v>
      </c>
      <c r="BC5" s="34" t="s">
        <v>68</v>
      </c>
      <c r="BD5" s="34" t="s">
        <v>69</v>
      </c>
      <c r="BE5" s="34" t="s">
        <v>70</v>
      </c>
      <c r="BF5" s="34" t="s">
        <v>71</v>
      </c>
      <c r="BG5" s="34" t="s">
        <v>72</v>
      </c>
      <c r="BH5" s="37" t="s">
        <v>73</v>
      </c>
      <c r="BI5" s="37" t="s">
        <v>74</v>
      </c>
      <c r="BJ5" s="37" t="s">
        <v>75</v>
      </c>
      <c r="BK5" s="37" t="s">
        <v>76</v>
      </c>
      <c r="BL5" s="37" t="s">
        <v>77</v>
      </c>
      <c r="BM5" s="37" t="s">
        <v>78</v>
      </c>
      <c r="BN5" s="37" t="s">
        <v>79</v>
      </c>
      <c r="BO5" s="37" t="s">
        <v>80</v>
      </c>
      <c r="BP5" s="37" t="s">
        <v>81</v>
      </c>
      <c r="BQ5" s="37" t="s">
        <v>82</v>
      </c>
      <c r="BR5" s="37" t="s">
        <v>83</v>
      </c>
      <c r="BS5" s="37" t="s">
        <v>84</v>
      </c>
      <c r="BT5" s="37" t="s">
        <v>85</v>
      </c>
      <c r="BU5" s="37" t="s">
        <v>86</v>
      </c>
      <c r="BV5" s="34" t="s">
        <v>87</v>
      </c>
      <c r="BW5" s="34" t="s">
        <v>88</v>
      </c>
      <c r="BX5" s="34" t="s">
        <v>89</v>
      </c>
      <c r="BY5" s="34" t="s">
        <v>90</v>
      </c>
      <c r="BZ5" s="34" t="s">
        <v>91</v>
      </c>
      <c r="CA5" s="34" t="s">
        <v>92</v>
      </c>
      <c r="CB5" s="34" t="s">
        <v>93</v>
      </c>
      <c r="CC5" s="34" t="s">
        <v>94</v>
      </c>
      <c r="CD5" s="34" t="s">
        <v>95</v>
      </c>
      <c r="CE5" s="34" t="s">
        <v>96</v>
      </c>
      <c r="CF5" s="34" t="s">
        <v>97</v>
      </c>
      <c r="CG5" s="34" t="s">
        <v>98</v>
      </c>
      <c r="CH5" s="38" t="s">
        <v>99</v>
      </c>
      <c r="CI5" s="39" t="s">
        <v>100</v>
      </c>
      <c r="CJ5" s="40" t="s">
        <v>101</v>
      </c>
      <c r="CK5" s="40" t="s">
        <v>102</v>
      </c>
      <c r="CL5" s="40" t="s">
        <v>103</v>
      </c>
      <c r="CM5" s="40" t="s">
        <v>104</v>
      </c>
      <c r="CN5" s="40" t="s">
        <v>105</v>
      </c>
      <c r="CO5" s="40" t="s">
        <v>106</v>
      </c>
      <c r="CP5" s="40" t="s">
        <v>107</v>
      </c>
      <c r="CQ5" s="40" t="s">
        <v>108</v>
      </c>
      <c r="CR5" s="40" t="s">
        <v>109</v>
      </c>
      <c r="CS5" s="40" t="s">
        <v>110</v>
      </c>
      <c r="CT5" s="40" t="s">
        <v>111</v>
      </c>
      <c r="CU5" s="40" t="s">
        <v>112</v>
      </c>
      <c r="CV5" s="40" t="s">
        <v>113</v>
      </c>
      <c r="CW5" s="40" t="s">
        <v>114</v>
      </c>
      <c r="CX5" s="40" t="s">
        <v>115</v>
      </c>
      <c r="CY5" s="40" t="s">
        <v>116</v>
      </c>
      <c r="CZ5" s="34" t="s">
        <v>117</v>
      </c>
      <c r="DA5" s="34" t="s">
        <v>118</v>
      </c>
      <c r="DB5" s="34" t="s">
        <v>119</v>
      </c>
      <c r="DC5" s="41" t="s">
        <v>120</v>
      </c>
      <c r="DD5" s="42" t="s">
        <v>121</v>
      </c>
      <c r="DE5" s="34" t="s">
        <v>122</v>
      </c>
      <c r="DF5" s="34" t="s">
        <v>123</v>
      </c>
      <c r="DG5" s="34" t="s">
        <v>124</v>
      </c>
      <c r="DH5" s="34" t="s">
        <v>125</v>
      </c>
      <c r="DI5" s="34" t="s">
        <v>126</v>
      </c>
      <c r="DJ5" s="34" t="s">
        <v>127</v>
      </c>
      <c r="DK5" s="34" t="s">
        <v>128</v>
      </c>
      <c r="DL5" s="34" t="s">
        <v>129</v>
      </c>
      <c r="DM5" s="34" t="s">
        <v>130</v>
      </c>
      <c r="DN5" s="34" t="s">
        <v>131</v>
      </c>
      <c r="DO5" s="34" t="s">
        <v>132</v>
      </c>
      <c r="DP5" s="34" t="s">
        <v>133</v>
      </c>
      <c r="DQ5" s="34" t="s">
        <v>134</v>
      </c>
      <c r="DR5" s="34" t="s">
        <v>135</v>
      </c>
      <c r="DS5" s="34" t="s">
        <v>136</v>
      </c>
      <c r="DT5" s="34" t="s">
        <v>137</v>
      </c>
      <c r="DU5" s="34" t="s">
        <v>138</v>
      </c>
      <c r="DV5" s="34" t="s">
        <v>139</v>
      </c>
      <c r="DW5" s="34" t="s">
        <v>140</v>
      </c>
      <c r="DX5" s="34" t="s">
        <v>141</v>
      </c>
      <c r="DY5" s="34" t="s">
        <v>142</v>
      </c>
      <c r="DZ5" s="34" t="s">
        <v>143</v>
      </c>
      <c r="EA5" s="34" t="s">
        <v>144</v>
      </c>
      <c r="EB5" s="34" t="s">
        <v>145</v>
      </c>
      <c r="EC5" s="34" t="s">
        <v>146</v>
      </c>
      <c r="ED5" s="34" t="s">
        <v>147</v>
      </c>
      <c r="EE5" s="34" t="s">
        <v>148</v>
      </c>
      <c r="EF5" s="34" t="s">
        <v>149</v>
      </c>
      <c r="EG5" s="34" t="s">
        <v>150</v>
      </c>
      <c r="EH5" s="34" t="s">
        <v>151</v>
      </c>
      <c r="EI5" s="34" t="s">
        <v>152</v>
      </c>
      <c r="EJ5" s="34" t="s">
        <v>153</v>
      </c>
      <c r="EK5" s="34" t="s">
        <v>154</v>
      </c>
      <c r="EL5" s="34" t="s">
        <v>155</v>
      </c>
      <c r="EM5" s="34" t="s">
        <v>156</v>
      </c>
      <c r="EN5" s="34" t="s">
        <v>157</v>
      </c>
      <c r="EO5" s="38" t="s">
        <v>158</v>
      </c>
      <c r="EP5" s="43" t="s">
        <v>159</v>
      </c>
      <c r="EQ5" s="44" t="s">
        <v>160</v>
      </c>
      <c r="ER5" s="45" t="s">
        <v>161</v>
      </c>
      <c r="ES5" s="44" t="s">
        <v>162</v>
      </c>
      <c r="ET5" s="44" t="s">
        <v>163</v>
      </c>
      <c r="EU5" s="44" t="s">
        <v>164</v>
      </c>
      <c r="EV5" s="44" t="s">
        <v>165</v>
      </c>
      <c r="EW5" s="44" t="s">
        <v>166</v>
      </c>
      <c r="EX5" s="44" t="s">
        <v>167</v>
      </c>
      <c r="EY5" s="44" t="s">
        <v>168</v>
      </c>
      <c r="EZ5" s="44" t="s">
        <v>169</v>
      </c>
      <c r="FA5" s="44" t="s">
        <v>170</v>
      </c>
      <c r="FB5" s="44" t="s">
        <v>171</v>
      </c>
      <c r="FC5" s="44" t="s">
        <v>172</v>
      </c>
      <c r="FD5" s="44" t="s">
        <v>173</v>
      </c>
      <c r="FE5" s="44" t="s">
        <v>174</v>
      </c>
      <c r="FF5" s="44" t="s">
        <v>175</v>
      </c>
      <c r="FG5" s="44" t="s">
        <v>176</v>
      </c>
      <c r="FH5" s="44" t="s">
        <v>177</v>
      </c>
      <c r="FI5" s="46" t="s">
        <v>178</v>
      </c>
      <c r="FJ5" s="47" t="s">
        <v>179</v>
      </c>
      <c r="FK5" s="44" t="s">
        <v>180</v>
      </c>
      <c r="FL5" s="44" t="s">
        <v>181</v>
      </c>
      <c r="FM5" s="44" t="s">
        <v>182</v>
      </c>
      <c r="FN5" s="44" t="s">
        <v>183</v>
      </c>
      <c r="FO5" s="44" t="s">
        <v>184</v>
      </c>
      <c r="FP5" s="44" t="s">
        <v>185</v>
      </c>
      <c r="FQ5" s="44" t="s">
        <v>186</v>
      </c>
      <c r="FR5" s="44" t="s">
        <v>187</v>
      </c>
      <c r="FS5" s="44" t="s">
        <v>188</v>
      </c>
      <c r="FT5" s="44" t="s">
        <v>2</v>
      </c>
      <c r="FU5" s="44" t="s">
        <v>189</v>
      </c>
      <c r="FV5" s="44" t="s">
        <v>190</v>
      </c>
      <c r="FW5" s="44" t="s">
        <v>191</v>
      </c>
      <c r="FX5" s="44" t="s">
        <v>192</v>
      </c>
      <c r="FY5" s="44" t="s">
        <v>193</v>
      </c>
      <c r="FZ5" s="44" t="s">
        <v>194</v>
      </c>
      <c r="GA5" s="44" t="s">
        <v>195</v>
      </c>
      <c r="GB5" s="44" t="s">
        <v>196</v>
      </c>
      <c r="GC5" s="44" t="s">
        <v>197</v>
      </c>
      <c r="GD5" s="44" t="s">
        <v>198</v>
      </c>
      <c r="GE5" s="44" t="s">
        <v>199</v>
      </c>
      <c r="GF5" s="48" t="s">
        <v>200</v>
      </c>
      <c r="GG5" s="48" t="s">
        <v>201</v>
      </c>
      <c r="GH5" s="44" t="s">
        <v>202</v>
      </c>
      <c r="GI5" s="44" t="s">
        <v>203</v>
      </c>
      <c r="GJ5" s="44" t="s">
        <v>204</v>
      </c>
      <c r="GK5" s="44" t="s">
        <v>1</v>
      </c>
      <c r="GL5" s="44" t="s">
        <v>205</v>
      </c>
      <c r="GM5" s="44" t="s">
        <v>206</v>
      </c>
      <c r="GN5" s="44" t="s">
        <v>207</v>
      </c>
      <c r="GO5" s="44" t="s">
        <v>208</v>
      </c>
      <c r="GP5" s="44" t="s">
        <v>209</v>
      </c>
      <c r="GQ5" s="44" t="s">
        <v>210</v>
      </c>
      <c r="GR5" s="44" t="s">
        <v>211</v>
      </c>
      <c r="GS5" s="44" t="s">
        <v>212</v>
      </c>
      <c r="GT5" s="44" t="s">
        <v>213</v>
      </c>
      <c r="GU5" s="44" t="s">
        <v>214</v>
      </c>
      <c r="GV5" s="44" t="s">
        <v>215</v>
      </c>
      <c r="GW5" s="44" t="s">
        <v>216</v>
      </c>
      <c r="GX5" s="44" t="s">
        <v>217</v>
      </c>
      <c r="GY5" s="44" t="s">
        <v>218</v>
      </c>
      <c r="GZ5" s="44" t="s">
        <v>219</v>
      </c>
      <c r="HA5" s="44" t="s">
        <v>220</v>
      </c>
      <c r="HB5" s="44" t="s">
        <v>221</v>
      </c>
      <c r="HC5" s="44" t="s">
        <v>222</v>
      </c>
      <c r="HD5" s="44" t="s">
        <v>223</v>
      </c>
      <c r="HE5" s="44" t="s">
        <v>224</v>
      </c>
      <c r="HF5" s="49" t="s">
        <v>225</v>
      </c>
      <c r="HG5" s="50" t="s">
        <v>226</v>
      </c>
      <c r="HH5" s="51" t="s">
        <v>244</v>
      </c>
      <c r="HI5" s="52" t="s">
        <v>245</v>
      </c>
      <c r="HJ5" s="53" t="s">
        <v>227</v>
      </c>
      <c r="HK5" s="53" t="s">
        <v>246</v>
      </c>
      <c r="HL5" s="53" t="s">
        <v>247</v>
      </c>
      <c r="HM5" s="54" t="s">
        <v>228</v>
      </c>
      <c r="HN5" s="55" t="s">
        <v>229</v>
      </c>
      <c r="HO5" s="55" t="s">
        <v>230</v>
      </c>
      <c r="HP5" s="56" t="s">
        <v>231</v>
      </c>
      <c r="HQ5" s="56" t="s">
        <v>232</v>
      </c>
      <c r="HR5" s="56" t="s">
        <v>233</v>
      </c>
      <c r="HS5" s="56" t="s">
        <v>234</v>
      </c>
      <c r="HT5" s="56" t="s">
        <v>235</v>
      </c>
      <c r="HU5" s="57" t="s">
        <v>236</v>
      </c>
      <c r="HV5" s="58" t="s">
        <v>248</v>
      </c>
      <c r="HW5" s="5" t="s">
        <v>237</v>
      </c>
      <c r="HX5" s="5" t="s">
        <v>238</v>
      </c>
    </row>
    <row r="6" spans="1:233" hidden="1" x14ac:dyDescent="0.2">
      <c r="A6" s="59"/>
      <c r="B6" s="60">
        <v>1</v>
      </c>
      <c r="C6" s="60">
        <v>1</v>
      </c>
      <c r="D6" s="61" t="s">
        <v>249</v>
      </c>
      <c r="E6" s="62"/>
      <c r="F6" s="62"/>
      <c r="G6" s="62"/>
      <c r="H6" s="62"/>
      <c r="I6" s="62"/>
      <c r="J6" s="61" t="s">
        <v>250</v>
      </c>
      <c r="K6" s="60" t="s">
        <v>251</v>
      </c>
      <c r="L6" s="62" t="s">
        <v>252</v>
      </c>
      <c r="M6" s="63">
        <v>60628</v>
      </c>
      <c r="N6" s="62" t="s">
        <v>253</v>
      </c>
      <c r="O6" s="62"/>
      <c r="P6" s="62"/>
      <c r="Q6" s="62"/>
      <c r="R6" s="62"/>
      <c r="S6" s="64">
        <v>12318100</v>
      </c>
      <c r="T6" s="65" t="s">
        <v>254</v>
      </c>
      <c r="U6" s="65">
        <v>873784.67</v>
      </c>
      <c r="V6" s="65">
        <f>SUM(LIST_LOCATIONDETAILS334[[#This Row],[Building]:[BI]])</f>
        <v>13191884.67</v>
      </c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0" t="s">
        <v>255</v>
      </c>
      <c r="AQ6" s="62"/>
      <c r="AR6" s="62"/>
      <c r="AS6" s="60" t="s">
        <v>256</v>
      </c>
      <c r="AT6" s="60">
        <v>1971</v>
      </c>
      <c r="AU6" s="62"/>
      <c r="AV6" s="63"/>
      <c r="AW6" s="63"/>
      <c r="AX6" s="62"/>
      <c r="AY6" s="62">
        <v>3</v>
      </c>
      <c r="AZ6" s="60">
        <v>5</v>
      </c>
      <c r="BA6" s="66">
        <v>64270</v>
      </c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  <c r="EA6" s="62"/>
      <c r="EB6" s="62"/>
      <c r="EC6" s="62"/>
      <c r="ED6" s="62"/>
      <c r="EE6" s="62"/>
      <c r="EF6" s="62"/>
      <c r="EG6" s="62"/>
      <c r="EH6" s="62"/>
      <c r="EI6" s="62"/>
      <c r="EJ6" s="62"/>
      <c r="EK6" s="62"/>
      <c r="EL6" s="62"/>
      <c r="EM6" s="62"/>
      <c r="EN6" s="62"/>
      <c r="EO6" s="62"/>
      <c r="EP6" s="62"/>
      <c r="EQ6" s="62"/>
      <c r="ER6" s="62"/>
      <c r="ES6" s="62"/>
      <c r="ET6" s="62"/>
      <c r="EU6" s="62"/>
      <c r="EV6" s="62"/>
      <c r="EW6" s="62"/>
      <c r="EX6" s="62"/>
      <c r="EY6" s="62"/>
      <c r="EZ6" s="62"/>
      <c r="FA6" s="62"/>
      <c r="FB6" s="62"/>
      <c r="FC6" s="62"/>
      <c r="FD6" s="62"/>
      <c r="FE6" s="62"/>
      <c r="FF6" s="62"/>
      <c r="FG6" s="62"/>
      <c r="FH6" s="62"/>
      <c r="FI6" s="62"/>
      <c r="FJ6" s="67"/>
      <c r="FK6" s="67"/>
      <c r="FL6" s="67"/>
      <c r="FM6" s="67"/>
      <c r="FN6" s="67"/>
      <c r="FO6" s="67"/>
      <c r="FP6" s="67"/>
      <c r="FQ6" s="67"/>
      <c r="FR6" s="62"/>
      <c r="FS6" s="62"/>
      <c r="FT6" s="62"/>
      <c r="FU6" s="62"/>
      <c r="FV6" s="62"/>
      <c r="FW6" s="62"/>
      <c r="FX6" s="62"/>
      <c r="FY6" s="62"/>
      <c r="FZ6" s="62"/>
      <c r="GA6" s="62"/>
      <c r="GB6" s="62"/>
      <c r="GC6" s="62"/>
      <c r="GD6" s="62"/>
      <c r="GE6" s="62"/>
      <c r="GF6" s="63"/>
      <c r="GG6" s="63"/>
      <c r="GH6" s="62"/>
      <c r="GI6" s="62"/>
      <c r="GJ6" s="62"/>
      <c r="GK6" s="62"/>
      <c r="GL6" s="62"/>
      <c r="GM6" s="62"/>
      <c r="GN6" s="62"/>
      <c r="GO6" s="62"/>
      <c r="GP6" s="62"/>
      <c r="GQ6" s="62"/>
      <c r="GR6" s="62"/>
      <c r="GS6" s="62"/>
      <c r="GT6" s="62"/>
      <c r="GU6" s="62"/>
      <c r="GV6" s="62"/>
      <c r="GW6" s="62"/>
      <c r="GX6" s="62"/>
      <c r="GY6" s="62"/>
      <c r="GZ6" s="62"/>
      <c r="HA6" s="62"/>
      <c r="HB6" s="62"/>
      <c r="HC6" s="62"/>
      <c r="HD6" s="62"/>
      <c r="HE6" s="62"/>
      <c r="HF6" s="62"/>
      <c r="HG6" s="68" t="s">
        <v>257</v>
      </c>
      <c r="HH6" s="62" t="s">
        <v>258</v>
      </c>
      <c r="HI6" s="62" t="s">
        <v>259</v>
      </c>
      <c r="HJ6" s="69">
        <v>60</v>
      </c>
      <c r="HK6" s="62">
        <v>2007</v>
      </c>
      <c r="HL6" s="62" t="s">
        <v>260</v>
      </c>
      <c r="HM6" s="62">
        <v>2008</v>
      </c>
      <c r="HN6" s="62" t="s">
        <v>261</v>
      </c>
      <c r="HO6" s="62">
        <v>2012</v>
      </c>
      <c r="HP6" s="70">
        <v>0.97</v>
      </c>
      <c r="HQ6" s="70">
        <v>0</v>
      </c>
      <c r="HR6" s="70">
        <v>0</v>
      </c>
      <c r="HS6" s="70">
        <v>0</v>
      </c>
      <c r="HT6" s="70">
        <v>0.91</v>
      </c>
      <c r="HU6" s="62" t="s">
        <v>262</v>
      </c>
      <c r="HV6" s="62" t="s">
        <v>263</v>
      </c>
      <c r="HW6" s="62"/>
      <c r="HX6" s="62"/>
    </row>
    <row r="7" spans="1:233" hidden="1" x14ac:dyDescent="0.2">
      <c r="A7" s="59"/>
      <c r="B7" s="60">
        <v>1</v>
      </c>
      <c r="C7" s="60">
        <v>2</v>
      </c>
      <c r="D7" s="61" t="s">
        <v>249</v>
      </c>
      <c r="E7" s="62"/>
      <c r="F7" s="62"/>
      <c r="G7" s="62"/>
      <c r="H7" s="62"/>
      <c r="I7" s="62"/>
      <c r="J7" s="61" t="s">
        <v>250</v>
      </c>
      <c r="K7" s="60" t="s">
        <v>251</v>
      </c>
      <c r="L7" s="62" t="s">
        <v>252</v>
      </c>
      <c r="M7" s="63">
        <v>60628</v>
      </c>
      <c r="N7" s="62" t="s">
        <v>253</v>
      </c>
      <c r="O7" s="62"/>
      <c r="P7" s="62"/>
      <c r="Q7" s="62"/>
      <c r="R7" s="62"/>
      <c r="S7" s="64">
        <v>12318100</v>
      </c>
      <c r="T7" s="65" t="s">
        <v>254</v>
      </c>
      <c r="U7" s="65">
        <v>873784.67</v>
      </c>
      <c r="V7" s="65">
        <f>SUM(LIST_LOCATIONDETAILS334[[#This Row],[Building]:[BI]])</f>
        <v>13191884.67</v>
      </c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0" t="s">
        <v>255</v>
      </c>
      <c r="AQ7" s="62"/>
      <c r="AR7" s="62"/>
      <c r="AS7" s="60" t="s">
        <v>256</v>
      </c>
      <c r="AT7" s="60">
        <v>1971</v>
      </c>
      <c r="AU7" s="62"/>
      <c r="AV7" s="63"/>
      <c r="AW7" s="63"/>
      <c r="AX7" s="62"/>
      <c r="AY7" s="62">
        <v>1</v>
      </c>
      <c r="AZ7" s="60">
        <v>5</v>
      </c>
      <c r="BA7" s="66">
        <v>64270</v>
      </c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  <c r="EA7" s="62"/>
      <c r="EB7" s="62"/>
      <c r="EC7" s="62"/>
      <c r="ED7" s="62"/>
      <c r="EE7" s="62"/>
      <c r="EF7" s="62"/>
      <c r="EG7" s="62"/>
      <c r="EH7" s="62"/>
      <c r="EI7" s="62"/>
      <c r="EJ7" s="62"/>
      <c r="EK7" s="62"/>
      <c r="EL7" s="62"/>
      <c r="EM7" s="62"/>
      <c r="EN7" s="62"/>
      <c r="EO7" s="62"/>
      <c r="EP7" s="62"/>
      <c r="EQ7" s="62"/>
      <c r="ER7" s="62"/>
      <c r="ES7" s="62"/>
      <c r="ET7" s="62"/>
      <c r="EU7" s="62"/>
      <c r="EV7" s="62"/>
      <c r="EW7" s="62"/>
      <c r="EX7" s="62"/>
      <c r="EY7" s="62"/>
      <c r="EZ7" s="62"/>
      <c r="FA7" s="62"/>
      <c r="FB7" s="62"/>
      <c r="FC7" s="62"/>
      <c r="FD7" s="62"/>
      <c r="FE7" s="62"/>
      <c r="FF7" s="62"/>
      <c r="FG7" s="62"/>
      <c r="FH7" s="62"/>
      <c r="FI7" s="62"/>
      <c r="FJ7" s="67"/>
      <c r="FK7" s="67"/>
      <c r="FL7" s="67"/>
      <c r="FM7" s="67"/>
      <c r="FN7" s="67"/>
      <c r="FO7" s="67"/>
      <c r="FP7" s="67"/>
      <c r="FQ7" s="67"/>
      <c r="FR7" s="62"/>
      <c r="FS7" s="62"/>
      <c r="FT7" s="62"/>
      <c r="FU7" s="62"/>
      <c r="FV7" s="62"/>
      <c r="FW7" s="62"/>
      <c r="FX7" s="62"/>
      <c r="FY7" s="62"/>
      <c r="FZ7" s="62"/>
      <c r="GA7" s="62"/>
      <c r="GB7" s="62"/>
      <c r="GC7" s="62"/>
      <c r="GD7" s="62"/>
      <c r="GE7" s="62"/>
      <c r="GF7" s="63"/>
      <c r="GG7" s="63"/>
      <c r="GH7" s="62"/>
      <c r="GI7" s="62"/>
      <c r="GJ7" s="62"/>
      <c r="GK7" s="62"/>
      <c r="GL7" s="62"/>
      <c r="GM7" s="62"/>
      <c r="GN7" s="62"/>
      <c r="GO7" s="62"/>
      <c r="GP7" s="62"/>
      <c r="GQ7" s="62"/>
      <c r="GR7" s="62"/>
      <c r="GS7" s="62"/>
      <c r="GT7" s="62"/>
      <c r="GU7" s="62"/>
      <c r="GV7" s="62"/>
      <c r="GW7" s="62"/>
      <c r="GX7" s="62"/>
      <c r="GY7" s="62"/>
      <c r="GZ7" s="62"/>
      <c r="HA7" s="62"/>
      <c r="HB7" s="62"/>
      <c r="HC7" s="62"/>
      <c r="HD7" s="62"/>
      <c r="HE7" s="62"/>
      <c r="HF7" s="62"/>
      <c r="HG7" s="68" t="s">
        <v>257</v>
      </c>
      <c r="HH7" s="62" t="s">
        <v>258</v>
      </c>
      <c r="HI7" s="62"/>
      <c r="HJ7" s="69">
        <v>60</v>
      </c>
      <c r="HK7" s="62">
        <v>2007</v>
      </c>
      <c r="HL7" s="62" t="s">
        <v>260</v>
      </c>
      <c r="HM7" s="62">
        <v>2008</v>
      </c>
      <c r="HN7" s="62" t="s">
        <v>261</v>
      </c>
      <c r="HO7" s="62">
        <v>2012</v>
      </c>
      <c r="HP7" s="70">
        <v>0.97</v>
      </c>
      <c r="HQ7" s="70">
        <v>0</v>
      </c>
      <c r="HR7" s="70">
        <v>0</v>
      </c>
      <c r="HS7" s="70">
        <v>0</v>
      </c>
      <c r="HT7" s="70">
        <v>0.91</v>
      </c>
      <c r="HU7" s="62" t="s">
        <v>262</v>
      </c>
      <c r="HV7" s="62" t="s">
        <v>263</v>
      </c>
      <c r="HW7" s="62"/>
      <c r="HX7" s="62"/>
    </row>
    <row r="8" spans="1:233" hidden="1" x14ac:dyDescent="0.2">
      <c r="A8" s="59"/>
      <c r="B8" s="60">
        <v>1</v>
      </c>
      <c r="C8" s="60">
        <v>3</v>
      </c>
      <c r="D8" s="61" t="s">
        <v>249</v>
      </c>
      <c r="E8" s="62"/>
      <c r="F8" s="62"/>
      <c r="G8" s="62"/>
      <c r="H8" s="62"/>
      <c r="I8" s="62"/>
      <c r="J8" s="61" t="s">
        <v>250</v>
      </c>
      <c r="K8" s="60" t="s">
        <v>251</v>
      </c>
      <c r="L8" s="62" t="s">
        <v>252</v>
      </c>
      <c r="M8" s="63">
        <v>60628</v>
      </c>
      <c r="N8" s="62" t="s">
        <v>253</v>
      </c>
      <c r="O8" s="62"/>
      <c r="P8" s="62"/>
      <c r="Q8" s="62"/>
      <c r="R8" s="62"/>
      <c r="S8" s="64">
        <v>12318100</v>
      </c>
      <c r="T8" s="65" t="s">
        <v>254</v>
      </c>
      <c r="U8" s="65">
        <v>873784.67</v>
      </c>
      <c r="V8" s="65">
        <f>SUM(LIST_LOCATIONDETAILS334[[#This Row],[Building]:[BI]])</f>
        <v>13191884.67</v>
      </c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0" t="s">
        <v>255</v>
      </c>
      <c r="AQ8" s="62"/>
      <c r="AR8" s="62"/>
      <c r="AS8" s="60" t="s">
        <v>256</v>
      </c>
      <c r="AT8" s="60">
        <v>1971</v>
      </c>
      <c r="AU8" s="62"/>
      <c r="AV8" s="63"/>
      <c r="AW8" s="63"/>
      <c r="AX8" s="62"/>
      <c r="AY8" s="62">
        <v>1</v>
      </c>
      <c r="AZ8" s="60">
        <v>5</v>
      </c>
      <c r="BA8" s="66">
        <v>64270</v>
      </c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2"/>
      <c r="CB8" s="62"/>
      <c r="CC8" s="62"/>
      <c r="CD8" s="62"/>
      <c r="CE8" s="62"/>
      <c r="CF8" s="62"/>
      <c r="CG8" s="62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  <c r="EA8" s="62"/>
      <c r="EB8" s="62"/>
      <c r="EC8" s="62"/>
      <c r="ED8" s="62"/>
      <c r="EE8" s="62"/>
      <c r="EF8" s="62"/>
      <c r="EG8" s="62"/>
      <c r="EH8" s="62"/>
      <c r="EI8" s="62"/>
      <c r="EJ8" s="62"/>
      <c r="EK8" s="62"/>
      <c r="EL8" s="62"/>
      <c r="EM8" s="62"/>
      <c r="EN8" s="62"/>
      <c r="EO8" s="62"/>
      <c r="EP8" s="62"/>
      <c r="EQ8" s="62"/>
      <c r="ER8" s="62"/>
      <c r="ES8" s="62"/>
      <c r="ET8" s="62"/>
      <c r="EU8" s="62"/>
      <c r="EV8" s="62"/>
      <c r="EW8" s="62"/>
      <c r="EX8" s="62"/>
      <c r="EY8" s="62"/>
      <c r="EZ8" s="62"/>
      <c r="FA8" s="62"/>
      <c r="FB8" s="62"/>
      <c r="FC8" s="62"/>
      <c r="FD8" s="62"/>
      <c r="FE8" s="62"/>
      <c r="FF8" s="62"/>
      <c r="FG8" s="62"/>
      <c r="FH8" s="62"/>
      <c r="FI8" s="62"/>
      <c r="FJ8" s="67"/>
      <c r="FK8" s="67"/>
      <c r="FL8" s="67"/>
      <c r="FM8" s="67"/>
      <c r="FN8" s="67"/>
      <c r="FO8" s="67"/>
      <c r="FP8" s="67"/>
      <c r="FQ8" s="67"/>
      <c r="FR8" s="62"/>
      <c r="FS8" s="62"/>
      <c r="FT8" s="62"/>
      <c r="FU8" s="62"/>
      <c r="FV8" s="62"/>
      <c r="FW8" s="62"/>
      <c r="FX8" s="62"/>
      <c r="FY8" s="62"/>
      <c r="FZ8" s="62"/>
      <c r="GA8" s="62"/>
      <c r="GB8" s="62"/>
      <c r="GC8" s="62"/>
      <c r="GD8" s="62"/>
      <c r="GE8" s="62"/>
      <c r="GF8" s="63"/>
      <c r="GG8" s="63"/>
      <c r="GH8" s="62"/>
      <c r="GI8" s="62"/>
      <c r="GJ8" s="62"/>
      <c r="GK8" s="62"/>
      <c r="GL8" s="62"/>
      <c r="GM8" s="62"/>
      <c r="GN8" s="62"/>
      <c r="GO8" s="62"/>
      <c r="GP8" s="62"/>
      <c r="GQ8" s="62"/>
      <c r="GR8" s="62"/>
      <c r="GS8" s="62"/>
      <c r="GT8" s="62"/>
      <c r="GU8" s="62"/>
      <c r="GV8" s="62"/>
      <c r="GW8" s="62"/>
      <c r="GX8" s="62"/>
      <c r="GY8" s="62"/>
      <c r="GZ8" s="62"/>
      <c r="HA8" s="62"/>
      <c r="HB8" s="62"/>
      <c r="HC8" s="62"/>
      <c r="HD8" s="62"/>
      <c r="HE8" s="62"/>
      <c r="HF8" s="62"/>
      <c r="HG8" s="68" t="s">
        <v>257</v>
      </c>
      <c r="HH8" s="62" t="s">
        <v>258</v>
      </c>
      <c r="HI8" s="62"/>
      <c r="HJ8" s="69">
        <v>60</v>
      </c>
      <c r="HK8" s="62">
        <v>2007</v>
      </c>
      <c r="HL8" s="62" t="s">
        <v>260</v>
      </c>
      <c r="HM8" s="62">
        <v>2008</v>
      </c>
      <c r="HN8" s="62" t="s">
        <v>261</v>
      </c>
      <c r="HO8" s="62">
        <v>2012</v>
      </c>
      <c r="HP8" s="70">
        <v>0.97</v>
      </c>
      <c r="HQ8" s="70">
        <v>0</v>
      </c>
      <c r="HR8" s="70">
        <v>0</v>
      </c>
      <c r="HS8" s="70">
        <v>0</v>
      </c>
      <c r="HT8" s="70">
        <v>0.91</v>
      </c>
      <c r="HU8" s="62" t="s">
        <v>262</v>
      </c>
      <c r="HV8" s="62" t="s">
        <v>263</v>
      </c>
      <c r="HW8" s="62"/>
      <c r="HX8" s="62"/>
    </row>
    <row r="9" spans="1:233" hidden="1" x14ac:dyDescent="0.2">
      <c r="A9" s="59"/>
      <c r="B9" s="60">
        <v>2</v>
      </c>
      <c r="C9" s="60">
        <v>1</v>
      </c>
      <c r="D9" s="61" t="s">
        <v>264</v>
      </c>
      <c r="E9" s="62"/>
      <c r="F9" s="62"/>
      <c r="G9" s="62"/>
      <c r="H9" s="62"/>
      <c r="I9" s="62"/>
      <c r="J9" s="61" t="s">
        <v>265</v>
      </c>
      <c r="K9" s="60" t="s">
        <v>266</v>
      </c>
      <c r="L9" s="62" t="s">
        <v>267</v>
      </c>
      <c r="M9" s="63">
        <v>43615</v>
      </c>
      <c r="N9" s="62" t="s">
        <v>268</v>
      </c>
      <c r="O9" s="62"/>
      <c r="P9" s="62"/>
      <c r="Q9" s="62"/>
      <c r="R9" s="62"/>
      <c r="S9" s="71">
        <v>8297200</v>
      </c>
      <c r="T9" s="65" t="s">
        <v>254</v>
      </c>
      <c r="U9" s="65">
        <v>512601</v>
      </c>
      <c r="V9" s="65">
        <f>SUM(LIST_LOCATIONDETAILS334[[#This Row],[Building]:[BI]])</f>
        <v>8809801</v>
      </c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0" t="s">
        <v>269</v>
      </c>
      <c r="AQ9" s="62"/>
      <c r="AR9" s="62"/>
      <c r="AS9" s="60" t="s">
        <v>256</v>
      </c>
      <c r="AT9" s="60">
        <v>2001</v>
      </c>
      <c r="AU9" s="62"/>
      <c r="AV9" s="63"/>
      <c r="AW9" s="63"/>
      <c r="AX9" s="62"/>
      <c r="AY9" s="62">
        <v>1</v>
      </c>
      <c r="AZ9" s="60">
        <v>2</v>
      </c>
      <c r="BA9" s="66">
        <v>28550</v>
      </c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2"/>
      <c r="CB9" s="62"/>
      <c r="CC9" s="62"/>
      <c r="CD9" s="62"/>
      <c r="CE9" s="62"/>
      <c r="CF9" s="62"/>
      <c r="CG9" s="62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  <c r="EA9" s="62"/>
      <c r="EB9" s="62"/>
      <c r="EC9" s="62"/>
      <c r="ED9" s="62"/>
      <c r="EE9" s="62"/>
      <c r="EF9" s="62"/>
      <c r="EG9" s="62"/>
      <c r="EH9" s="62"/>
      <c r="EI9" s="62"/>
      <c r="EJ9" s="62"/>
      <c r="EK9" s="62"/>
      <c r="EL9" s="62"/>
      <c r="EM9" s="62"/>
      <c r="EN9" s="62"/>
      <c r="EO9" s="62"/>
      <c r="EP9" s="62"/>
      <c r="EQ9" s="62"/>
      <c r="ER9" s="62"/>
      <c r="ES9" s="62"/>
      <c r="ET9" s="62"/>
      <c r="EU9" s="62"/>
      <c r="EV9" s="62"/>
      <c r="EW9" s="62"/>
      <c r="EX9" s="62"/>
      <c r="EY9" s="62"/>
      <c r="EZ9" s="62"/>
      <c r="FA9" s="62"/>
      <c r="FB9" s="62"/>
      <c r="FC9" s="62"/>
      <c r="FD9" s="62"/>
      <c r="FE9" s="62"/>
      <c r="FF9" s="62"/>
      <c r="FG9" s="62"/>
      <c r="FH9" s="62"/>
      <c r="FI9" s="62"/>
      <c r="FJ9" s="67"/>
      <c r="FK9" s="67"/>
      <c r="FL9" s="67"/>
      <c r="FM9" s="67"/>
      <c r="FN9" s="67"/>
      <c r="FO9" s="67"/>
      <c r="FP9" s="67"/>
      <c r="FQ9" s="67"/>
      <c r="FR9" s="62"/>
      <c r="FS9" s="62"/>
      <c r="FT9" s="62"/>
      <c r="FU9" s="62"/>
      <c r="FV9" s="62"/>
      <c r="FW9" s="62"/>
      <c r="FX9" s="62"/>
      <c r="FY9" s="62"/>
      <c r="FZ9" s="62"/>
      <c r="GA9" s="62"/>
      <c r="GB9" s="62"/>
      <c r="GC9" s="62"/>
      <c r="GD9" s="62"/>
      <c r="GE9" s="62"/>
      <c r="GF9" s="63"/>
      <c r="GG9" s="63"/>
      <c r="GH9" s="62"/>
      <c r="GI9" s="62"/>
      <c r="GJ9" s="62"/>
      <c r="GK9" s="62"/>
      <c r="GL9" s="62"/>
      <c r="GM9" s="62"/>
      <c r="GN9" s="62"/>
      <c r="GO9" s="62"/>
      <c r="GP9" s="62"/>
      <c r="GQ9" s="62"/>
      <c r="GR9" s="62"/>
      <c r="GS9" s="62"/>
      <c r="GT9" s="62"/>
      <c r="GU9" s="62"/>
      <c r="GV9" s="62"/>
      <c r="GW9" s="62"/>
      <c r="GX9" s="62"/>
      <c r="GY9" s="62"/>
      <c r="GZ9" s="62"/>
      <c r="HA9" s="62"/>
      <c r="HB9" s="62"/>
      <c r="HC9" s="62"/>
      <c r="HD9" s="62"/>
      <c r="HE9" s="62"/>
      <c r="HF9" s="62"/>
      <c r="HG9" s="68">
        <v>1</v>
      </c>
      <c r="HH9" s="62" t="s">
        <v>258</v>
      </c>
      <c r="HI9" s="62"/>
      <c r="HJ9" s="69">
        <v>50</v>
      </c>
      <c r="HK9" s="62">
        <v>2001</v>
      </c>
      <c r="HL9" s="62" t="s">
        <v>270</v>
      </c>
      <c r="HM9" s="62">
        <v>2011</v>
      </c>
      <c r="HN9" s="62">
        <v>2001</v>
      </c>
      <c r="HO9" s="62">
        <v>2001</v>
      </c>
      <c r="HP9" s="70">
        <v>1</v>
      </c>
      <c r="HQ9" s="70">
        <v>0</v>
      </c>
      <c r="HR9" s="70">
        <v>1</v>
      </c>
      <c r="HS9" s="70">
        <v>0</v>
      </c>
      <c r="HT9" s="70">
        <v>0.96</v>
      </c>
      <c r="HU9" s="62" t="s">
        <v>271</v>
      </c>
      <c r="HV9" s="62" t="s">
        <v>263</v>
      </c>
      <c r="HW9" s="62"/>
      <c r="HX9" s="62"/>
    </row>
    <row r="10" spans="1:233" hidden="1" x14ac:dyDescent="0.2">
      <c r="A10" s="59"/>
      <c r="B10" s="60">
        <v>3</v>
      </c>
      <c r="C10" s="60">
        <v>1</v>
      </c>
      <c r="D10" s="61" t="s">
        <v>272</v>
      </c>
      <c r="E10" s="62"/>
      <c r="F10" s="62"/>
      <c r="G10" s="62"/>
      <c r="H10" s="62"/>
      <c r="I10" s="62"/>
      <c r="J10" s="61" t="s">
        <v>273</v>
      </c>
      <c r="K10" s="60" t="s">
        <v>272</v>
      </c>
      <c r="L10" s="62" t="s">
        <v>274</v>
      </c>
      <c r="M10" s="63">
        <v>94568</v>
      </c>
      <c r="N10" s="62" t="s">
        <v>275</v>
      </c>
      <c r="O10" s="62"/>
      <c r="P10" s="62"/>
      <c r="Q10" s="62"/>
      <c r="R10" s="62"/>
      <c r="S10" s="64">
        <v>102850310</v>
      </c>
      <c r="T10" s="65" t="s">
        <v>254</v>
      </c>
      <c r="U10" s="65">
        <v>10908060</v>
      </c>
      <c r="V10" s="65">
        <f>SUM(LIST_LOCATIONDETAILS334[[#This Row],[Building]:[BI]])</f>
        <v>113758370</v>
      </c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0" t="s">
        <v>269</v>
      </c>
      <c r="AQ10" s="62"/>
      <c r="AR10" s="62"/>
      <c r="AS10" s="60" t="s">
        <v>276</v>
      </c>
      <c r="AT10" s="60">
        <v>2003</v>
      </c>
      <c r="AU10" s="62"/>
      <c r="AV10" s="63"/>
      <c r="AW10" s="63"/>
      <c r="AX10" s="62"/>
      <c r="AY10" s="62"/>
      <c r="AZ10" s="60">
        <v>4</v>
      </c>
      <c r="BA10" s="66">
        <v>518625</v>
      </c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2"/>
      <c r="CB10" s="62"/>
      <c r="CC10" s="62"/>
      <c r="CD10" s="62"/>
      <c r="CE10" s="62"/>
      <c r="CF10" s="62"/>
      <c r="CG10" s="62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  <c r="EA10" s="62"/>
      <c r="EB10" s="62"/>
      <c r="EC10" s="62"/>
      <c r="ED10" s="62"/>
      <c r="EE10" s="62"/>
      <c r="EF10" s="62"/>
      <c r="EG10" s="62"/>
      <c r="EH10" s="62"/>
      <c r="EI10" s="62"/>
      <c r="EJ10" s="62"/>
      <c r="EK10" s="62"/>
      <c r="EL10" s="62"/>
      <c r="EM10" s="62"/>
      <c r="EN10" s="62"/>
      <c r="EO10" s="62"/>
      <c r="EP10" s="62"/>
      <c r="EQ10" s="62"/>
      <c r="ER10" s="62"/>
      <c r="ES10" s="62"/>
      <c r="ET10" s="62"/>
      <c r="EU10" s="62"/>
      <c r="EV10" s="62"/>
      <c r="EW10" s="62"/>
      <c r="EX10" s="62"/>
      <c r="EY10" s="62"/>
      <c r="EZ10" s="62"/>
      <c r="FA10" s="62"/>
      <c r="FB10" s="62"/>
      <c r="FC10" s="62"/>
      <c r="FD10" s="62"/>
      <c r="FE10" s="62"/>
      <c r="FF10" s="62"/>
      <c r="FG10" s="62"/>
      <c r="FH10" s="62"/>
      <c r="FI10" s="62"/>
      <c r="FJ10" s="67"/>
      <c r="FK10" s="67"/>
      <c r="FL10" s="67"/>
      <c r="FM10" s="67"/>
      <c r="FN10" s="67"/>
      <c r="FO10" s="67"/>
      <c r="FP10" s="67"/>
      <c r="FQ10" s="67"/>
      <c r="FR10" s="62"/>
      <c r="FS10" s="62"/>
      <c r="FT10" s="62"/>
      <c r="FU10" s="62"/>
      <c r="FV10" s="62"/>
      <c r="FW10" s="62"/>
      <c r="FX10" s="62"/>
      <c r="FY10" s="62"/>
      <c r="FZ10" s="62"/>
      <c r="GA10" s="62"/>
      <c r="GB10" s="62"/>
      <c r="GC10" s="62"/>
      <c r="GD10" s="62"/>
      <c r="GE10" s="62"/>
      <c r="GF10" s="63"/>
      <c r="GG10" s="63"/>
      <c r="GH10" s="62"/>
      <c r="GI10" s="62"/>
      <c r="GJ10" s="62"/>
      <c r="GK10" s="62"/>
      <c r="GL10" s="62"/>
      <c r="GM10" s="62"/>
      <c r="GN10" s="62"/>
      <c r="GO10" s="62"/>
      <c r="GP10" s="62"/>
      <c r="GQ10" s="62"/>
      <c r="GR10" s="62"/>
      <c r="GS10" s="62"/>
      <c r="GT10" s="62"/>
      <c r="GU10" s="62"/>
      <c r="GV10" s="62"/>
      <c r="GW10" s="62"/>
      <c r="GX10" s="62"/>
      <c r="GY10" s="62"/>
      <c r="GZ10" s="62"/>
      <c r="HA10" s="62"/>
      <c r="HB10" s="62"/>
      <c r="HC10" s="62"/>
      <c r="HD10" s="62"/>
      <c r="HE10" s="62"/>
      <c r="HF10" s="62"/>
      <c r="HG10" s="68">
        <v>1</v>
      </c>
      <c r="HH10" s="62" t="s">
        <v>258</v>
      </c>
      <c r="HI10" s="62"/>
      <c r="HJ10" s="69">
        <v>390</v>
      </c>
      <c r="HK10" s="62">
        <v>2003</v>
      </c>
      <c r="HL10" s="62" t="s">
        <v>277</v>
      </c>
      <c r="HM10" s="62">
        <v>2003</v>
      </c>
      <c r="HN10" s="62">
        <v>2003</v>
      </c>
      <c r="HO10" s="62">
        <v>2003</v>
      </c>
      <c r="HP10" s="70">
        <v>0</v>
      </c>
      <c r="HQ10" s="70">
        <v>0</v>
      </c>
      <c r="HR10" s="70">
        <v>0</v>
      </c>
      <c r="HS10" s="70">
        <v>0</v>
      </c>
      <c r="HT10" s="70">
        <v>0.96</v>
      </c>
      <c r="HU10" s="62" t="s">
        <v>271</v>
      </c>
      <c r="HV10" s="62" t="s">
        <v>278</v>
      </c>
      <c r="HW10" s="62"/>
      <c r="HX10" s="62"/>
    </row>
    <row r="11" spans="1:233" hidden="1" x14ac:dyDescent="0.2">
      <c r="A11" s="59"/>
      <c r="B11" s="60">
        <v>4</v>
      </c>
      <c r="C11" s="60">
        <v>1</v>
      </c>
      <c r="D11" s="61" t="s">
        <v>279</v>
      </c>
      <c r="E11" s="62"/>
      <c r="F11" s="62"/>
      <c r="G11" s="62"/>
      <c r="H11" s="62"/>
      <c r="I11" s="62"/>
      <c r="J11" s="61" t="s">
        <v>280</v>
      </c>
      <c r="K11" s="60" t="s">
        <v>281</v>
      </c>
      <c r="L11" s="62" t="s">
        <v>274</v>
      </c>
      <c r="M11" s="63">
        <v>90018</v>
      </c>
      <c r="N11" s="62" t="s">
        <v>281</v>
      </c>
      <c r="O11" s="62"/>
      <c r="P11" s="62"/>
      <c r="Q11" s="62"/>
      <c r="R11" s="62"/>
      <c r="S11" s="64">
        <v>1558226.83</v>
      </c>
      <c r="T11" s="65" t="s">
        <v>254</v>
      </c>
      <c r="U11" s="65">
        <v>258807.72</v>
      </c>
      <c r="V11" s="65">
        <f>SUM(LIST_LOCATIONDETAILS334[[#This Row],[Building]:[BI]])</f>
        <v>1817034.55</v>
      </c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0" t="s">
        <v>269</v>
      </c>
      <c r="AQ11" s="62"/>
      <c r="AR11" s="62"/>
      <c r="AS11" s="60" t="s">
        <v>282</v>
      </c>
      <c r="AT11" s="60">
        <v>1926</v>
      </c>
      <c r="AU11" s="62"/>
      <c r="AV11" s="63"/>
      <c r="AW11" s="63"/>
      <c r="AX11" s="62"/>
      <c r="AY11" s="62">
        <v>27</v>
      </c>
      <c r="AZ11" s="60"/>
      <c r="BA11" s="66">
        <v>3029</v>
      </c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7"/>
      <c r="FK11" s="67"/>
      <c r="FL11" s="67"/>
      <c r="FM11" s="67"/>
      <c r="FN11" s="67"/>
      <c r="FO11" s="67"/>
      <c r="FP11" s="67"/>
      <c r="FQ11" s="67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3"/>
      <c r="GG11" s="63"/>
      <c r="GH11" s="62"/>
      <c r="GI11" s="62"/>
      <c r="GJ11" s="62"/>
      <c r="GK11" s="62"/>
      <c r="GL11" s="62"/>
      <c r="GM11" s="62"/>
      <c r="GN11" s="62"/>
      <c r="GO11" s="62"/>
      <c r="GP11" s="62"/>
      <c r="GQ11" s="62"/>
      <c r="GR11" s="62"/>
      <c r="GS11" s="62"/>
      <c r="GT11" s="62"/>
      <c r="GU11" s="62"/>
      <c r="GV11" s="62"/>
      <c r="GW11" s="62"/>
      <c r="GX11" s="62"/>
      <c r="GY11" s="62"/>
      <c r="GZ11" s="62"/>
      <c r="HA11" s="62"/>
      <c r="HB11" s="62"/>
      <c r="HC11" s="62"/>
      <c r="HD11" s="62"/>
      <c r="HE11" s="62"/>
      <c r="HF11" s="62"/>
      <c r="HG11" s="68" t="s">
        <v>283</v>
      </c>
      <c r="HH11" s="62" t="s">
        <v>258</v>
      </c>
      <c r="HI11" s="62" t="s">
        <v>284</v>
      </c>
      <c r="HJ11" s="69">
        <v>9</v>
      </c>
      <c r="HK11" s="62">
        <v>2019</v>
      </c>
      <c r="HL11" s="62" t="s">
        <v>285</v>
      </c>
      <c r="HM11" s="62">
        <v>2019</v>
      </c>
      <c r="HN11" s="62">
        <v>2019</v>
      </c>
      <c r="HO11" s="62">
        <v>2019</v>
      </c>
      <c r="HP11" s="70">
        <v>1</v>
      </c>
      <c r="HQ11" s="70">
        <v>0</v>
      </c>
      <c r="HR11" s="70">
        <v>0</v>
      </c>
      <c r="HS11" s="70">
        <v>0</v>
      </c>
      <c r="HT11" s="70">
        <v>1</v>
      </c>
      <c r="HU11" s="62" t="s">
        <v>286</v>
      </c>
      <c r="HV11" s="62" t="s">
        <v>263</v>
      </c>
      <c r="HW11" s="62"/>
      <c r="HX11" s="62"/>
    </row>
    <row r="12" spans="1:233" hidden="1" x14ac:dyDescent="0.2">
      <c r="A12" s="59"/>
      <c r="B12" s="60">
        <v>5</v>
      </c>
      <c r="C12" s="60">
        <v>1</v>
      </c>
      <c r="D12" s="61" t="s">
        <v>279</v>
      </c>
      <c r="E12" s="62"/>
      <c r="F12" s="62"/>
      <c r="G12" s="62"/>
      <c r="H12" s="62"/>
      <c r="I12" s="62"/>
      <c r="J12" s="61" t="s">
        <v>287</v>
      </c>
      <c r="K12" s="60" t="s">
        <v>281</v>
      </c>
      <c r="L12" s="62" t="s">
        <v>274</v>
      </c>
      <c r="M12" s="63">
        <v>90018</v>
      </c>
      <c r="N12" s="62" t="s">
        <v>281</v>
      </c>
      <c r="O12" s="62"/>
      <c r="P12" s="62"/>
      <c r="Q12" s="62"/>
      <c r="R12" s="62"/>
      <c r="S12" s="64">
        <v>1423959.02</v>
      </c>
      <c r="T12" s="65" t="s">
        <v>254</v>
      </c>
      <c r="U12" s="65">
        <v>236507.03</v>
      </c>
      <c r="V12" s="65">
        <f>SUM(LIST_LOCATIONDETAILS334[[#This Row],[Building]:[BI]])</f>
        <v>1660466.05</v>
      </c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0" t="s">
        <v>269</v>
      </c>
      <c r="AQ12" s="62"/>
      <c r="AR12" s="62"/>
      <c r="AS12" s="60" t="s">
        <v>282</v>
      </c>
      <c r="AT12" s="60">
        <v>1924</v>
      </c>
      <c r="AU12" s="62"/>
      <c r="AV12" s="63"/>
      <c r="AW12" s="63"/>
      <c r="AX12" s="62"/>
      <c r="AY12" s="62">
        <v>1</v>
      </c>
      <c r="AZ12" s="60"/>
      <c r="BA12" s="66">
        <v>2768</v>
      </c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7"/>
      <c r="FK12" s="67"/>
      <c r="FL12" s="67"/>
      <c r="FM12" s="67"/>
      <c r="FN12" s="67"/>
      <c r="FO12" s="67"/>
      <c r="FP12" s="67"/>
      <c r="FQ12" s="67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3"/>
      <c r="GG12" s="63"/>
      <c r="GH12" s="62"/>
      <c r="GI12" s="62"/>
      <c r="GJ12" s="62"/>
      <c r="GK12" s="62"/>
      <c r="GL12" s="62"/>
      <c r="GM12" s="62"/>
      <c r="GN12" s="62"/>
      <c r="GO12" s="62"/>
      <c r="GP12" s="62"/>
      <c r="GQ12" s="62"/>
      <c r="GR12" s="62"/>
      <c r="GS12" s="62"/>
      <c r="GT12" s="62"/>
      <c r="GU12" s="62"/>
      <c r="GV12" s="62"/>
      <c r="GW12" s="62"/>
      <c r="GX12" s="62"/>
      <c r="GY12" s="62"/>
      <c r="GZ12" s="62"/>
      <c r="HA12" s="62"/>
      <c r="HB12" s="62"/>
      <c r="HC12" s="62"/>
      <c r="HD12" s="62"/>
      <c r="HE12" s="62"/>
      <c r="HF12" s="62"/>
      <c r="HG12" s="68" t="s">
        <v>283</v>
      </c>
      <c r="HH12" s="62" t="s">
        <v>258</v>
      </c>
      <c r="HI12" s="62" t="s">
        <v>259</v>
      </c>
      <c r="HJ12" s="69">
        <v>8</v>
      </c>
      <c r="HK12" s="62">
        <v>2019</v>
      </c>
      <c r="HL12" s="62" t="s">
        <v>285</v>
      </c>
      <c r="HM12" s="62">
        <v>2019</v>
      </c>
      <c r="HN12" s="62">
        <v>2019</v>
      </c>
      <c r="HO12" s="62">
        <v>2019</v>
      </c>
      <c r="HP12" s="70">
        <v>1</v>
      </c>
      <c r="HQ12" s="70">
        <v>0</v>
      </c>
      <c r="HR12" s="70">
        <v>0</v>
      </c>
      <c r="HS12" s="70">
        <v>0</v>
      </c>
      <c r="HT12" s="70">
        <v>1</v>
      </c>
      <c r="HU12" s="62" t="s">
        <v>286</v>
      </c>
      <c r="HV12" s="62" t="s">
        <v>263</v>
      </c>
      <c r="HW12" s="62"/>
      <c r="HX12" s="62"/>
    </row>
    <row r="13" spans="1:233" hidden="1" x14ac:dyDescent="0.2">
      <c r="A13" s="59"/>
      <c r="B13" s="60">
        <v>6</v>
      </c>
      <c r="C13" s="60">
        <v>1</v>
      </c>
      <c r="D13" s="61" t="s">
        <v>279</v>
      </c>
      <c r="E13" s="62"/>
      <c r="F13" s="62"/>
      <c r="G13" s="62"/>
      <c r="H13" s="62"/>
      <c r="I13" s="62"/>
      <c r="J13" s="61" t="s">
        <v>288</v>
      </c>
      <c r="K13" s="60" t="s">
        <v>281</v>
      </c>
      <c r="L13" s="62" t="s">
        <v>274</v>
      </c>
      <c r="M13" s="63">
        <v>90018</v>
      </c>
      <c r="N13" s="62" t="s">
        <v>281</v>
      </c>
      <c r="O13" s="62"/>
      <c r="P13" s="62"/>
      <c r="Q13" s="62"/>
      <c r="R13" s="62"/>
      <c r="S13" s="64">
        <v>1904442.3</v>
      </c>
      <c r="T13" s="65" t="s">
        <v>254</v>
      </c>
      <c r="U13" s="72">
        <v>316311.06</v>
      </c>
      <c r="V13" s="65">
        <f>SUM(LIST_LOCATIONDETAILS334[[#This Row],[Building]:[BI]])</f>
        <v>2220753.36</v>
      </c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0" t="s">
        <v>269</v>
      </c>
      <c r="AQ13" s="62"/>
      <c r="AR13" s="62"/>
      <c r="AS13" s="60" t="s">
        <v>282</v>
      </c>
      <c r="AT13" s="60">
        <v>1925</v>
      </c>
      <c r="AU13" s="62"/>
      <c r="AV13" s="63"/>
      <c r="AW13" s="63"/>
      <c r="AX13" s="62"/>
      <c r="AY13" s="62" t="s">
        <v>289</v>
      </c>
      <c r="AZ13" s="60"/>
      <c r="BA13" s="66">
        <v>3702</v>
      </c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2"/>
      <c r="CB13" s="62"/>
      <c r="CC13" s="62"/>
      <c r="CD13" s="62"/>
      <c r="CE13" s="62"/>
      <c r="CF13" s="62"/>
      <c r="CG13" s="62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  <c r="EA13" s="62"/>
      <c r="EB13" s="62"/>
      <c r="EC13" s="62"/>
      <c r="ED13" s="62"/>
      <c r="EE13" s="62"/>
      <c r="EF13" s="62"/>
      <c r="EG13" s="62"/>
      <c r="EH13" s="62"/>
      <c r="EI13" s="62"/>
      <c r="EJ13" s="62"/>
      <c r="EK13" s="62"/>
      <c r="EL13" s="62"/>
      <c r="EM13" s="62"/>
      <c r="EN13" s="62"/>
      <c r="EO13" s="62"/>
      <c r="EP13" s="62"/>
      <c r="EQ13" s="62"/>
      <c r="ER13" s="62"/>
      <c r="ES13" s="62"/>
      <c r="ET13" s="62"/>
      <c r="EU13" s="62"/>
      <c r="EV13" s="62"/>
      <c r="EW13" s="62"/>
      <c r="EX13" s="62"/>
      <c r="EY13" s="62"/>
      <c r="EZ13" s="62"/>
      <c r="FA13" s="62"/>
      <c r="FB13" s="62"/>
      <c r="FC13" s="62"/>
      <c r="FD13" s="62"/>
      <c r="FE13" s="62"/>
      <c r="FF13" s="62"/>
      <c r="FG13" s="62"/>
      <c r="FH13" s="62"/>
      <c r="FI13" s="62"/>
      <c r="FJ13" s="67"/>
      <c r="FK13" s="67"/>
      <c r="FL13" s="67"/>
      <c r="FM13" s="67"/>
      <c r="FN13" s="67"/>
      <c r="FO13" s="67"/>
      <c r="FP13" s="67"/>
      <c r="FQ13" s="67"/>
      <c r="FR13" s="62"/>
      <c r="FS13" s="62"/>
      <c r="FT13" s="62"/>
      <c r="FU13" s="62"/>
      <c r="FV13" s="62"/>
      <c r="FW13" s="62"/>
      <c r="FX13" s="62"/>
      <c r="FY13" s="62"/>
      <c r="FZ13" s="62"/>
      <c r="GA13" s="62"/>
      <c r="GB13" s="62"/>
      <c r="GC13" s="62"/>
      <c r="GD13" s="62"/>
      <c r="GE13" s="62"/>
      <c r="GF13" s="63"/>
      <c r="GG13" s="63"/>
      <c r="GH13" s="62"/>
      <c r="GI13" s="62"/>
      <c r="GJ13" s="62"/>
      <c r="GK13" s="62"/>
      <c r="GL13" s="62"/>
      <c r="GM13" s="62"/>
      <c r="GN13" s="62"/>
      <c r="GO13" s="62"/>
      <c r="GP13" s="62"/>
      <c r="GQ13" s="62"/>
      <c r="GR13" s="62"/>
      <c r="GS13" s="62"/>
      <c r="GT13" s="62"/>
      <c r="GU13" s="62"/>
      <c r="GV13" s="62"/>
      <c r="GW13" s="62"/>
      <c r="GX13" s="62"/>
      <c r="GY13" s="62"/>
      <c r="GZ13" s="62"/>
      <c r="HA13" s="62"/>
      <c r="HB13" s="62"/>
      <c r="HC13" s="62"/>
      <c r="HD13" s="62"/>
      <c r="HE13" s="62"/>
      <c r="HF13" s="62"/>
      <c r="HG13" s="68" t="s">
        <v>283</v>
      </c>
      <c r="HH13" s="62" t="s">
        <v>258</v>
      </c>
      <c r="HI13" s="62" t="s">
        <v>290</v>
      </c>
      <c r="HJ13" s="69">
        <v>11</v>
      </c>
      <c r="HK13" s="62">
        <v>2019</v>
      </c>
      <c r="HL13" s="62" t="s">
        <v>285</v>
      </c>
      <c r="HM13" s="62">
        <v>2019</v>
      </c>
      <c r="HN13" s="62">
        <v>2019</v>
      </c>
      <c r="HO13" s="62">
        <v>2019</v>
      </c>
      <c r="HP13" s="70">
        <v>1</v>
      </c>
      <c r="HQ13" s="70">
        <v>0</v>
      </c>
      <c r="HR13" s="70">
        <v>0</v>
      </c>
      <c r="HS13" s="70">
        <v>0</v>
      </c>
      <c r="HT13" s="70">
        <v>1</v>
      </c>
      <c r="HU13" s="62" t="s">
        <v>286</v>
      </c>
      <c r="HV13" s="62" t="s">
        <v>263</v>
      </c>
      <c r="HW13" s="62"/>
      <c r="HX13" s="62"/>
    </row>
    <row r="14" spans="1:233" hidden="1" x14ac:dyDescent="0.2">
      <c r="A14" s="59"/>
      <c r="B14" s="60">
        <v>7</v>
      </c>
      <c r="C14" s="60">
        <v>1</v>
      </c>
      <c r="D14" s="61" t="s">
        <v>279</v>
      </c>
      <c r="E14" s="62"/>
      <c r="F14" s="62"/>
      <c r="G14" s="62"/>
      <c r="H14" s="62"/>
      <c r="I14" s="62"/>
      <c r="J14" s="61" t="s">
        <v>291</v>
      </c>
      <c r="K14" s="60" t="s">
        <v>281</v>
      </c>
      <c r="L14" s="62" t="s">
        <v>274</v>
      </c>
      <c r="M14" s="63">
        <v>90018</v>
      </c>
      <c r="N14" s="62" t="s">
        <v>281</v>
      </c>
      <c r="O14" s="62"/>
      <c r="P14" s="62"/>
      <c r="Q14" s="62"/>
      <c r="R14" s="62"/>
      <c r="S14" s="64">
        <v>3564013.04</v>
      </c>
      <c r="T14" s="65" t="s">
        <v>254</v>
      </c>
      <c r="U14" s="72">
        <v>591951.11</v>
      </c>
      <c r="V14" s="65">
        <f>SUM(LIST_LOCATIONDETAILS334[[#This Row],[Building]:[BI]])</f>
        <v>4155964.15</v>
      </c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0" t="s">
        <v>269</v>
      </c>
      <c r="AQ14" s="62"/>
      <c r="AR14" s="62"/>
      <c r="AS14" s="60" t="s">
        <v>282</v>
      </c>
      <c r="AT14" s="60">
        <v>1973</v>
      </c>
      <c r="AU14" s="62"/>
      <c r="AV14" s="63"/>
      <c r="AW14" s="63"/>
      <c r="AX14" s="62"/>
      <c r="AY14" s="62">
        <v>36</v>
      </c>
      <c r="AZ14" s="60"/>
      <c r="BA14" s="66">
        <v>6928</v>
      </c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62"/>
      <c r="EG14" s="62"/>
      <c r="EH14" s="62"/>
      <c r="EI14" s="62"/>
      <c r="EJ14" s="62"/>
      <c r="EK14" s="62"/>
      <c r="EL14" s="62"/>
      <c r="EM14" s="62"/>
      <c r="EN14" s="62"/>
      <c r="EO14" s="62"/>
      <c r="EP14" s="62"/>
      <c r="EQ14" s="62"/>
      <c r="ER14" s="62"/>
      <c r="ES14" s="62"/>
      <c r="ET14" s="62"/>
      <c r="EU14" s="62"/>
      <c r="EV14" s="62"/>
      <c r="EW14" s="62"/>
      <c r="EX14" s="62"/>
      <c r="EY14" s="62"/>
      <c r="EZ14" s="62"/>
      <c r="FA14" s="62"/>
      <c r="FB14" s="62"/>
      <c r="FC14" s="62"/>
      <c r="FD14" s="62"/>
      <c r="FE14" s="62"/>
      <c r="FF14" s="62"/>
      <c r="FG14" s="62"/>
      <c r="FH14" s="62"/>
      <c r="FI14" s="62"/>
      <c r="FJ14" s="67"/>
      <c r="FK14" s="67"/>
      <c r="FL14" s="67"/>
      <c r="FM14" s="67"/>
      <c r="FN14" s="67"/>
      <c r="FO14" s="67"/>
      <c r="FP14" s="67"/>
      <c r="FQ14" s="67"/>
      <c r="FR14" s="62"/>
      <c r="FS14" s="62"/>
      <c r="FT14" s="62"/>
      <c r="FU14" s="62"/>
      <c r="FV14" s="62"/>
      <c r="FW14" s="62"/>
      <c r="FX14" s="62"/>
      <c r="FY14" s="62"/>
      <c r="FZ14" s="62"/>
      <c r="GA14" s="62"/>
      <c r="GB14" s="62"/>
      <c r="GC14" s="62"/>
      <c r="GD14" s="62"/>
      <c r="GE14" s="62"/>
      <c r="GF14" s="63"/>
      <c r="GG14" s="63"/>
      <c r="GH14" s="62"/>
      <c r="GI14" s="62"/>
      <c r="GJ14" s="62"/>
      <c r="GK14" s="62"/>
      <c r="GL14" s="62"/>
      <c r="GM14" s="62"/>
      <c r="GN14" s="62"/>
      <c r="GO14" s="62"/>
      <c r="GP14" s="62"/>
      <c r="GQ14" s="62"/>
      <c r="GR14" s="62"/>
      <c r="GS14" s="62"/>
      <c r="GT14" s="62"/>
      <c r="GU14" s="62"/>
      <c r="GV14" s="62"/>
      <c r="GW14" s="62"/>
      <c r="GX14" s="62"/>
      <c r="GY14" s="62"/>
      <c r="GZ14" s="62"/>
      <c r="HA14" s="62"/>
      <c r="HB14" s="62"/>
      <c r="HC14" s="62"/>
      <c r="HD14" s="62"/>
      <c r="HE14" s="62"/>
      <c r="HF14" s="62"/>
      <c r="HG14" s="68" t="s">
        <v>283</v>
      </c>
      <c r="HH14" s="62" t="s">
        <v>258</v>
      </c>
      <c r="HI14" s="62"/>
      <c r="HJ14" s="69">
        <v>21</v>
      </c>
      <c r="HK14" s="62">
        <v>2019</v>
      </c>
      <c r="HL14" s="62" t="s">
        <v>285</v>
      </c>
      <c r="HM14" s="62">
        <v>2019</v>
      </c>
      <c r="HN14" s="62">
        <v>2019</v>
      </c>
      <c r="HO14" s="62">
        <v>2019</v>
      </c>
      <c r="HP14" s="70">
        <v>1</v>
      </c>
      <c r="HQ14" s="70">
        <v>0</v>
      </c>
      <c r="HR14" s="70">
        <v>0</v>
      </c>
      <c r="HS14" s="70">
        <v>0</v>
      </c>
      <c r="HT14" s="70">
        <v>1</v>
      </c>
      <c r="HU14" s="62" t="s">
        <v>286</v>
      </c>
      <c r="HV14" s="62" t="s">
        <v>263</v>
      </c>
      <c r="HW14" s="62"/>
      <c r="HX14" s="62"/>
    </row>
    <row r="15" spans="1:233" hidden="1" x14ac:dyDescent="0.2">
      <c r="A15" s="59"/>
      <c r="B15" s="60">
        <v>8</v>
      </c>
      <c r="C15" s="60">
        <v>1</v>
      </c>
      <c r="D15" s="61" t="s">
        <v>279</v>
      </c>
      <c r="E15" s="62"/>
      <c r="F15" s="62"/>
      <c r="G15" s="62"/>
      <c r="H15" s="62"/>
      <c r="I15" s="62"/>
      <c r="J15" s="61" t="s">
        <v>292</v>
      </c>
      <c r="K15" s="60" t="s">
        <v>281</v>
      </c>
      <c r="L15" s="62" t="s">
        <v>274</v>
      </c>
      <c r="M15" s="63">
        <v>90018</v>
      </c>
      <c r="N15" s="62" t="s">
        <v>281</v>
      </c>
      <c r="O15" s="62"/>
      <c r="P15" s="62"/>
      <c r="Q15" s="62"/>
      <c r="R15" s="62"/>
      <c r="S15" s="64">
        <v>921869.42</v>
      </c>
      <c r="T15" s="65" t="s">
        <v>254</v>
      </c>
      <c r="U15" s="72">
        <v>153114.38</v>
      </c>
      <c r="V15" s="65">
        <f>SUM(LIST_LOCATIONDETAILS334[[#This Row],[Building]:[BI]])</f>
        <v>1074983.8</v>
      </c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0" t="s">
        <v>269</v>
      </c>
      <c r="AQ15" s="62"/>
      <c r="AR15" s="62"/>
      <c r="AS15" s="60" t="s">
        <v>282</v>
      </c>
      <c r="AT15" s="60">
        <v>1924</v>
      </c>
      <c r="AU15" s="62"/>
      <c r="AV15" s="63"/>
      <c r="AW15" s="63"/>
      <c r="AX15" s="62"/>
      <c r="AY15" s="62">
        <v>9</v>
      </c>
      <c r="AZ15" s="60"/>
      <c r="BA15" s="66">
        <v>1792</v>
      </c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2"/>
      <c r="CB15" s="62"/>
      <c r="CC15" s="62"/>
      <c r="CD15" s="62"/>
      <c r="CE15" s="62"/>
      <c r="CF15" s="62"/>
      <c r="CG15" s="62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  <c r="EA15" s="62"/>
      <c r="EB15" s="62"/>
      <c r="EC15" s="62"/>
      <c r="ED15" s="62"/>
      <c r="EE15" s="62"/>
      <c r="EF15" s="62"/>
      <c r="EG15" s="62"/>
      <c r="EH15" s="62"/>
      <c r="EI15" s="62"/>
      <c r="EJ15" s="62"/>
      <c r="EK15" s="62"/>
      <c r="EL15" s="62"/>
      <c r="EM15" s="62"/>
      <c r="EN15" s="62"/>
      <c r="EO15" s="62"/>
      <c r="EP15" s="62"/>
      <c r="EQ15" s="62"/>
      <c r="ER15" s="62"/>
      <c r="ES15" s="62"/>
      <c r="ET15" s="62"/>
      <c r="EU15" s="62"/>
      <c r="EV15" s="62"/>
      <c r="EW15" s="62"/>
      <c r="EX15" s="62"/>
      <c r="EY15" s="62"/>
      <c r="EZ15" s="62"/>
      <c r="FA15" s="62"/>
      <c r="FB15" s="62"/>
      <c r="FC15" s="62"/>
      <c r="FD15" s="62"/>
      <c r="FE15" s="62"/>
      <c r="FF15" s="62"/>
      <c r="FG15" s="62"/>
      <c r="FH15" s="62"/>
      <c r="FI15" s="62"/>
      <c r="FJ15" s="67"/>
      <c r="FK15" s="67"/>
      <c r="FL15" s="67"/>
      <c r="FM15" s="67"/>
      <c r="FN15" s="67"/>
      <c r="FO15" s="67"/>
      <c r="FP15" s="67"/>
      <c r="FQ15" s="67"/>
      <c r="FR15" s="62"/>
      <c r="FS15" s="62"/>
      <c r="FT15" s="62"/>
      <c r="FU15" s="62"/>
      <c r="FV15" s="62"/>
      <c r="FW15" s="62"/>
      <c r="FX15" s="62"/>
      <c r="FY15" s="62"/>
      <c r="FZ15" s="62"/>
      <c r="GA15" s="62"/>
      <c r="GB15" s="62"/>
      <c r="GC15" s="62"/>
      <c r="GD15" s="62"/>
      <c r="GE15" s="62"/>
      <c r="GF15" s="63"/>
      <c r="GG15" s="63"/>
      <c r="GH15" s="62"/>
      <c r="GI15" s="62"/>
      <c r="GJ15" s="62"/>
      <c r="GK15" s="62"/>
      <c r="GL15" s="62"/>
      <c r="GM15" s="62"/>
      <c r="GN15" s="62"/>
      <c r="GO15" s="62"/>
      <c r="GP15" s="62"/>
      <c r="GQ15" s="62"/>
      <c r="GR15" s="62"/>
      <c r="GS15" s="62"/>
      <c r="GT15" s="62"/>
      <c r="GU15" s="62"/>
      <c r="GV15" s="62"/>
      <c r="GW15" s="62"/>
      <c r="GX15" s="62"/>
      <c r="GY15" s="62"/>
      <c r="GZ15" s="62"/>
      <c r="HA15" s="62"/>
      <c r="HB15" s="62"/>
      <c r="HC15" s="62"/>
      <c r="HD15" s="62"/>
      <c r="HE15" s="62"/>
      <c r="HF15" s="62"/>
      <c r="HG15" s="68" t="s">
        <v>283</v>
      </c>
      <c r="HH15" s="62" t="s">
        <v>258</v>
      </c>
      <c r="HI15" s="62" t="s">
        <v>293</v>
      </c>
      <c r="HJ15" s="69">
        <v>6</v>
      </c>
      <c r="HK15" s="62">
        <v>2019</v>
      </c>
      <c r="HL15" s="62" t="s">
        <v>285</v>
      </c>
      <c r="HM15" s="62">
        <v>2019</v>
      </c>
      <c r="HN15" s="62">
        <v>2019</v>
      </c>
      <c r="HO15" s="62">
        <v>2019</v>
      </c>
      <c r="HP15" s="70">
        <v>1</v>
      </c>
      <c r="HQ15" s="70">
        <v>0</v>
      </c>
      <c r="HR15" s="70">
        <v>0</v>
      </c>
      <c r="HS15" s="70">
        <v>0</v>
      </c>
      <c r="HT15" s="70">
        <v>1</v>
      </c>
      <c r="HU15" s="62" t="s">
        <v>286</v>
      </c>
      <c r="HV15" s="62" t="s">
        <v>263</v>
      </c>
      <c r="HW15" s="62"/>
      <c r="HX15" s="62"/>
    </row>
    <row r="16" spans="1:233" hidden="1" x14ac:dyDescent="0.2">
      <c r="A16" s="59"/>
      <c r="B16" s="60">
        <v>8</v>
      </c>
      <c r="C16" s="60">
        <v>2</v>
      </c>
      <c r="D16" s="61" t="s">
        <v>279</v>
      </c>
      <c r="E16" s="62"/>
      <c r="F16" s="62"/>
      <c r="G16" s="62"/>
      <c r="H16" s="62"/>
      <c r="I16" s="62"/>
      <c r="J16" s="61" t="s">
        <v>292</v>
      </c>
      <c r="K16" s="60" t="s">
        <v>281</v>
      </c>
      <c r="L16" s="62" t="s">
        <v>274</v>
      </c>
      <c r="M16" s="63">
        <v>90018</v>
      </c>
      <c r="N16" s="62" t="s">
        <v>281</v>
      </c>
      <c r="O16" s="62"/>
      <c r="P16" s="62"/>
      <c r="Q16" s="62"/>
      <c r="R16" s="62"/>
      <c r="S16" s="64">
        <v>922898.29</v>
      </c>
      <c r="T16" s="65" t="s">
        <v>254</v>
      </c>
      <c r="U16" s="65">
        <v>153285.26</v>
      </c>
      <c r="V16" s="65">
        <f>SUM(LIST_LOCATIONDETAILS334[[#This Row],[Building]:[BI]])</f>
        <v>1076183.55</v>
      </c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0" t="s">
        <v>269</v>
      </c>
      <c r="AQ16" s="62"/>
      <c r="AR16" s="62"/>
      <c r="AS16" s="60" t="s">
        <v>282</v>
      </c>
      <c r="AT16" s="60">
        <v>1924</v>
      </c>
      <c r="AU16" s="62"/>
      <c r="AV16" s="63"/>
      <c r="AW16" s="63"/>
      <c r="AX16" s="62"/>
      <c r="AY16" s="62">
        <v>9</v>
      </c>
      <c r="AZ16" s="60"/>
      <c r="BA16" s="66">
        <v>1794</v>
      </c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2"/>
      <c r="CB16" s="62"/>
      <c r="CC16" s="62"/>
      <c r="CD16" s="62"/>
      <c r="CE16" s="62"/>
      <c r="CF16" s="62"/>
      <c r="CG16" s="62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  <c r="EA16" s="62"/>
      <c r="EB16" s="62"/>
      <c r="EC16" s="62"/>
      <c r="ED16" s="62"/>
      <c r="EE16" s="62"/>
      <c r="EF16" s="62"/>
      <c r="EG16" s="62"/>
      <c r="EH16" s="62"/>
      <c r="EI16" s="62"/>
      <c r="EJ16" s="62"/>
      <c r="EK16" s="62"/>
      <c r="EL16" s="62"/>
      <c r="EM16" s="62"/>
      <c r="EN16" s="62"/>
      <c r="EO16" s="62"/>
      <c r="EP16" s="62"/>
      <c r="EQ16" s="62"/>
      <c r="ER16" s="62"/>
      <c r="ES16" s="62"/>
      <c r="ET16" s="62"/>
      <c r="EU16" s="62"/>
      <c r="EV16" s="62"/>
      <c r="EW16" s="62"/>
      <c r="EX16" s="62"/>
      <c r="EY16" s="62"/>
      <c r="EZ16" s="62"/>
      <c r="FA16" s="62"/>
      <c r="FB16" s="62"/>
      <c r="FC16" s="62"/>
      <c r="FD16" s="62"/>
      <c r="FE16" s="62"/>
      <c r="FF16" s="62"/>
      <c r="FG16" s="62"/>
      <c r="FH16" s="62"/>
      <c r="FI16" s="62"/>
      <c r="FJ16" s="67"/>
      <c r="FK16" s="67"/>
      <c r="FL16" s="67"/>
      <c r="FM16" s="67"/>
      <c r="FN16" s="67"/>
      <c r="FO16" s="67"/>
      <c r="FP16" s="67"/>
      <c r="FQ16" s="67"/>
      <c r="FR16" s="62"/>
      <c r="FS16" s="62"/>
      <c r="FT16" s="62"/>
      <c r="FU16" s="62"/>
      <c r="FV16" s="62"/>
      <c r="FW16" s="62"/>
      <c r="FX16" s="62"/>
      <c r="FY16" s="62"/>
      <c r="FZ16" s="62"/>
      <c r="GA16" s="62"/>
      <c r="GB16" s="62"/>
      <c r="GC16" s="62"/>
      <c r="GD16" s="62"/>
      <c r="GE16" s="62"/>
      <c r="GF16" s="63"/>
      <c r="GG16" s="63"/>
      <c r="GH16" s="62"/>
      <c r="GI16" s="62"/>
      <c r="GJ16" s="62"/>
      <c r="GK16" s="62"/>
      <c r="GL16" s="62"/>
      <c r="GM16" s="62"/>
      <c r="GN16" s="62"/>
      <c r="GO16" s="62"/>
      <c r="GP16" s="62"/>
      <c r="GQ16" s="62"/>
      <c r="GR16" s="62"/>
      <c r="GS16" s="62"/>
      <c r="GT16" s="62"/>
      <c r="GU16" s="62"/>
      <c r="GV16" s="62"/>
      <c r="GW16" s="62"/>
      <c r="GX16" s="62"/>
      <c r="GY16" s="62"/>
      <c r="GZ16" s="62"/>
      <c r="HA16" s="62"/>
      <c r="HB16" s="62"/>
      <c r="HC16" s="62"/>
      <c r="HD16" s="62"/>
      <c r="HE16" s="62"/>
      <c r="HF16" s="62"/>
      <c r="HG16" s="68" t="s">
        <v>283</v>
      </c>
      <c r="HH16" s="62" t="s">
        <v>258</v>
      </c>
      <c r="HI16" s="62" t="s">
        <v>294</v>
      </c>
      <c r="HJ16" s="69">
        <v>6</v>
      </c>
      <c r="HK16" s="62">
        <v>2019</v>
      </c>
      <c r="HL16" s="62" t="s">
        <v>285</v>
      </c>
      <c r="HM16" s="62">
        <v>2019</v>
      </c>
      <c r="HN16" s="62">
        <v>2019</v>
      </c>
      <c r="HO16" s="62">
        <v>2019</v>
      </c>
      <c r="HP16" s="70">
        <v>1</v>
      </c>
      <c r="HQ16" s="70">
        <v>0</v>
      </c>
      <c r="HR16" s="70">
        <v>0</v>
      </c>
      <c r="HS16" s="70">
        <v>0</v>
      </c>
      <c r="HT16" s="70">
        <v>1</v>
      </c>
      <c r="HU16" s="62" t="s">
        <v>286</v>
      </c>
      <c r="HV16" s="62" t="s">
        <v>263</v>
      </c>
      <c r="HW16" s="62"/>
      <c r="HX16" s="62"/>
    </row>
    <row r="17" spans="1:232" hidden="1" x14ac:dyDescent="0.2">
      <c r="A17" s="59"/>
      <c r="B17" s="60">
        <v>8</v>
      </c>
      <c r="C17" s="60">
        <v>3</v>
      </c>
      <c r="D17" s="61" t="s">
        <v>279</v>
      </c>
      <c r="E17" s="62"/>
      <c r="F17" s="62"/>
      <c r="G17" s="62"/>
      <c r="H17" s="62"/>
      <c r="I17" s="62"/>
      <c r="J17" s="61" t="s">
        <v>292</v>
      </c>
      <c r="K17" s="60" t="s">
        <v>281</v>
      </c>
      <c r="L17" s="62" t="s">
        <v>274</v>
      </c>
      <c r="M17" s="63">
        <v>90018</v>
      </c>
      <c r="N17" s="62" t="s">
        <v>281</v>
      </c>
      <c r="O17" s="62"/>
      <c r="P17" s="62"/>
      <c r="Q17" s="62"/>
      <c r="R17" s="62"/>
      <c r="S17" s="64">
        <v>662079.21</v>
      </c>
      <c r="T17" s="65" t="s">
        <v>254</v>
      </c>
      <c r="U17" s="65">
        <v>109965.51</v>
      </c>
      <c r="V17" s="65">
        <f>SUM(LIST_LOCATIONDETAILS334[[#This Row],[Building]:[BI]])</f>
        <v>772044.72</v>
      </c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0" t="s">
        <v>269</v>
      </c>
      <c r="AQ17" s="62"/>
      <c r="AR17" s="62"/>
      <c r="AS17" s="60" t="s">
        <v>282</v>
      </c>
      <c r="AT17" s="60">
        <v>1924</v>
      </c>
      <c r="AU17" s="62"/>
      <c r="AV17" s="63"/>
      <c r="AW17" s="63"/>
      <c r="AX17" s="62"/>
      <c r="AY17" s="62"/>
      <c r="AZ17" s="60"/>
      <c r="BA17" s="66">
        <v>1287</v>
      </c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2"/>
      <c r="CB17" s="62"/>
      <c r="CC17" s="62"/>
      <c r="CD17" s="62"/>
      <c r="CE17" s="62"/>
      <c r="CF17" s="62"/>
      <c r="CG17" s="62"/>
      <c r="CH17" s="62"/>
      <c r="CI17" s="62"/>
      <c r="CJ17" s="62"/>
      <c r="CK17" s="62"/>
      <c r="CL17" s="62"/>
      <c r="CM17" s="62"/>
      <c r="CN17" s="62"/>
      <c r="CO17" s="62"/>
      <c r="CP17" s="62"/>
      <c r="CQ17" s="62"/>
      <c r="CR17" s="62"/>
      <c r="CS17" s="62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  <c r="DR17" s="62"/>
      <c r="DS17" s="62"/>
      <c r="DT17" s="62"/>
      <c r="DU17" s="62"/>
      <c r="DV17" s="62"/>
      <c r="DW17" s="62"/>
      <c r="DX17" s="62"/>
      <c r="DY17" s="62"/>
      <c r="DZ17" s="62"/>
      <c r="EA17" s="62"/>
      <c r="EB17" s="62"/>
      <c r="EC17" s="62"/>
      <c r="ED17" s="62"/>
      <c r="EE17" s="62"/>
      <c r="EF17" s="62"/>
      <c r="EG17" s="62"/>
      <c r="EH17" s="62"/>
      <c r="EI17" s="62"/>
      <c r="EJ17" s="62"/>
      <c r="EK17" s="62"/>
      <c r="EL17" s="62"/>
      <c r="EM17" s="62"/>
      <c r="EN17" s="62"/>
      <c r="EO17" s="62"/>
      <c r="EP17" s="62"/>
      <c r="EQ17" s="62"/>
      <c r="ER17" s="62"/>
      <c r="ES17" s="62"/>
      <c r="ET17" s="62"/>
      <c r="EU17" s="62"/>
      <c r="EV17" s="62"/>
      <c r="EW17" s="62"/>
      <c r="EX17" s="62"/>
      <c r="EY17" s="62"/>
      <c r="EZ17" s="62"/>
      <c r="FA17" s="62"/>
      <c r="FB17" s="62"/>
      <c r="FC17" s="62"/>
      <c r="FD17" s="62"/>
      <c r="FE17" s="62"/>
      <c r="FF17" s="62"/>
      <c r="FG17" s="62"/>
      <c r="FH17" s="62"/>
      <c r="FI17" s="62"/>
      <c r="FJ17" s="67"/>
      <c r="FK17" s="67"/>
      <c r="FL17" s="67"/>
      <c r="FM17" s="67"/>
      <c r="FN17" s="67"/>
      <c r="FO17" s="67"/>
      <c r="FP17" s="67"/>
      <c r="FQ17" s="67"/>
      <c r="FR17" s="62"/>
      <c r="FS17" s="62"/>
      <c r="FT17" s="62"/>
      <c r="FU17" s="62"/>
      <c r="FV17" s="62"/>
      <c r="FW17" s="62"/>
      <c r="FX17" s="62"/>
      <c r="FY17" s="62"/>
      <c r="FZ17" s="62"/>
      <c r="GA17" s="62"/>
      <c r="GB17" s="62"/>
      <c r="GC17" s="62"/>
      <c r="GD17" s="62"/>
      <c r="GE17" s="62"/>
      <c r="GF17" s="63"/>
      <c r="GG17" s="63"/>
      <c r="GH17" s="62"/>
      <c r="GI17" s="62"/>
      <c r="GJ17" s="62"/>
      <c r="GK17" s="62"/>
      <c r="GL17" s="62"/>
      <c r="GM17" s="62"/>
      <c r="GN17" s="62"/>
      <c r="GO17" s="62"/>
      <c r="GP17" s="62"/>
      <c r="GQ17" s="62"/>
      <c r="GR17" s="62"/>
      <c r="GS17" s="62"/>
      <c r="GT17" s="62"/>
      <c r="GU17" s="62"/>
      <c r="GV17" s="62"/>
      <c r="GW17" s="62"/>
      <c r="GX17" s="62"/>
      <c r="GY17" s="62"/>
      <c r="GZ17" s="62"/>
      <c r="HA17" s="62"/>
      <c r="HB17" s="62"/>
      <c r="HC17" s="62"/>
      <c r="HD17" s="62"/>
      <c r="HE17" s="62"/>
      <c r="HF17" s="62"/>
      <c r="HG17" s="68" t="s">
        <v>283</v>
      </c>
      <c r="HH17" s="62" t="s">
        <v>258</v>
      </c>
      <c r="HI17" s="62"/>
      <c r="HJ17" s="69">
        <v>4</v>
      </c>
      <c r="HK17" s="62">
        <v>2019</v>
      </c>
      <c r="HL17" s="62" t="s">
        <v>285</v>
      </c>
      <c r="HM17" s="62">
        <v>2019</v>
      </c>
      <c r="HN17" s="62">
        <v>2019</v>
      </c>
      <c r="HO17" s="62">
        <v>2019</v>
      </c>
      <c r="HP17" s="70">
        <v>1</v>
      </c>
      <c r="HQ17" s="70">
        <v>0</v>
      </c>
      <c r="HR17" s="70">
        <v>0</v>
      </c>
      <c r="HS17" s="70">
        <v>0</v>
      </c>
      <c r="HT17" s="70">
        <v>1</v>
      </c>
      <c r="HU17" s="62" t="s">
        <v>286</v>
      </c>
      <c r="HV17" s="62" t="s">
        <v>263</v>
      </c>
      <c r="HW17" s="62"/>
      <c r="HX17" s="62"/>
    </row>
    <row r="18" spans="1:232" hidden="1" x14ac:dyDescent="0.2">
      <c r="A18" s="59"/>
      <c r="B18" s="60">
        <v>9</v>
      </c>
      <c r="C18" s="60">
        <v>1</v>
      </c>
      <c r="D18" s="61" t="s">
        <v>279</v>
      </c>
      <c r="E18" s="62"/>
      <c r="F18" s="62"/>
      <c r="G18" s="62"/>
      <c r="H18" s="62"/>
      <c r="I18" s="62"/>
      <c r="J18" s="61" t="s">
        <v>295</v>
      </c>
      <c r="K18" s="60" t="s">
        <v>281</v>
      </c>
      <c r="L18" s="62" t="s">
        <v>274</v>
      </c>
      <c r="M18" s="63">
        <v>90018</v>
      </c>
      <c r="N18" s="62" t="s">
        <v>281</v>
      </c>
      <c r="O18" s="62"/>
      <c r="P18" s="62"/>
      <c r="Q18" s="62"/>
      <c r="R18" s="62"/>
      <c r="S18" s="64">
        <v>1150279.03</v>
      </c>
      <c r="T18" s="65" t="s">
        <v>254</v>
      </c>
      <c r="U18" s="65">
        <v>191051.2</v>
      </c>
      <c r="V18" s="65">
        <f>SUM(LIST_LOCATIONDETAILS334[[#This Row],[Building]:[BI]])</f>
        <v>1341330.23</v>
      </c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0" t="s">
        <v>269</v>
      </c>
      <c r="AQ18" s="62"/>
      <c r="AR18" s="62"/>
      <c r="AS18" s="60" t="s">
        <v>282</v>
      </c>
      <c r="AT18" s="60">
        <v>1923</v>
      </c>
      <c r="AU18" s="62"/>
      <c r="AV18" s="63"/>
      <c r="AW18" s="63"/>
      <c r="AX18" s="62"/>
      <c r="AY18" s="62"/>
      <c r="AZ18" s="60"/>
      <c r="BA18" s="66">
        <v>2236</v>
      </c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2"/>
      <c r="CB18" s="62"/>
      <c r="CC18" s="62"/>
      <c r="CD18" s="62"/>
      <c r="CE18" s="62"/>
      <c r="CF18" s="62"/>
      <c r="CG18" s="62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  <c r="EA18" s="62"/>
      <c r="EB18" s="62"/>
      <c r="EC18" s="62"/>
      <c r="ED18" s="62"/>
      <c r="EE18" s="62"/>
      <c r="EF18" s="62"/>
      <c r="EG18" s="62"/>
      <c r="EH18" s="62"/>
      <c r="EI18" s="62"/>
      <c r="EJ18" s="62"/>
      <c r="EK18" s="62"/>
      <c r="EL18" s="62"/>
      <c r="EM18" s="62"/>
      <c r="EN18" s="62"/>
      <c r="EO18" s="62"/>
      <c r="EP18" s="62"/>
      <c r="EQ18" s="62"/>
      <c r="ER18" s="62"/>
      <c r="ES18" s="62"/>
      <c r="ET18" s="62"/>
      <c r="EU18" s="62"/>
      <c r="EV18" s="62"/>
      <c r="EW18" s="62"/>
      <c r="EX18" s="62"/>
      <c r="EY18" s="62"/>
      <c r="EZ18" s="62"/>
      <c r="FA18" s="62"/>
      <c r="FB18" s="62"/>
      <c r="FC18" s="62"/>
      <c r="FD18" s="62"/>
      <c r="FE18" s="62"/>
      <c r="FF18" s="62"/>
      <c r="FG18" s="62"/>
      <c r="FH18" s="62"/>
      <c r="FI18" s="62"/>
      <c r="FJ18" s="67"/>
      <c r="FK18" s="67"/>
      <c r="FL18" s="67"/>
      <c r="FM18" s="67"/>
      <c r="FN18" s="67"/>
      <c r="FO18" s="67"/>
      <c r="FP18" s="67"/>
      <c r="FQ18" s="67"/>
      <c r="FR18" s="62"/>
      <c r="FS18" s="62"/>
      <c r="FT18" s="62"/>
      <c r="FU18" s="62"/>
      <c r="FV18" s="62"/>
      <c r="FW18" s="62"/>
      <c r="FX18" s="62"/>
      <c r="FY18" s="62"/>
      <c r="FZ18" s="62"/>
      <c r="GA18" s="62"/>
      <c r="GB18" s="62"/>
      <c r="GC18" s="62"/>
      <c r="GD18" s="62"/>
      <c r="GE18" s="62"/>
      <c r="GF18" s="63"/>
      <c r="GG18" s="63"/>
      <c r="GH18" s="62"/>
      <c r="GI18" s="62"/>
      <c r="GJ18" s="62"/>
      <c r="GK18" s="62"/>
      <c r="GL18" s="62"/>
      <c r="GM18" s="62"/>
      <c r="GN18" s="62"/>
      <c r="GO18" s="62"/>
      <c r="GP18" s="62"/>
      <c r="GQ18" s="62"/>
      <c r="GR18" s="62"/>
      <c r="GS18" s="62"/>
      <c r="GT18" s="62"/>
      <c r="GU18" s="62"/>
      <c r="GV18" s="62"/>
      <c r="GW18" s="62"/>
      <c r="GX18" s="62"/>
      <c r="GY18" s="62"/>
      <c r="GZ18" s="62"/>
      <c r="HA18" s="62"/>
      <c r="HB18" s="62"/>
      <c r="HC18" s="62"/>
      <c r="HD18" s="62"/>
      <c r="HE18" s="62"/>
      <c r="HF18" s="62"/>
      <c r="HG18" s="68" t="s">
        <v>283</v>
      </c>
      <c r="HH18" s="62" t="s">
        <v>258</v>
      </c>
      <c r="HI18" s="62"/>
      <c r="HJ18" s="69">
        <v>7</v>
      </c>
      <c r="HK18" s="62">
        <v>2019</v>
      </c>
      <c r="HL18" s="62" t="s">
        <v>285</v>
      </c>
      <c r="HM18" s="62">
        <v>2019</v>
      </c>
      <c r="HN18" s="62">
        <v>2019</v>
      </c>
      <c r="HO18" s="62">
        <v>2019</v>
      </c>
      <c r="HP18" s="70">
        <v>1</v>
      </c>
      <c r="HQ18" s="70">
        <v>0</v>
      </c>
      <c r="HR18" s="70">
        <v>0</v>
      </c>
      <c r="HS18" s="70">
        <v>0</v>
      </c>
      <c r="HT18" s="70">
        <v>1</v>
      </c>
      <c r="HU18" s="62" t="s">
        <v>286</v>
      </c>
      <c r="HV18" s="62" t="s">
        <v>263</v>
      </c>
      <c r="HW18" s="62"/>
      <c r="HX18" s="62"/>
    </row>
    <row r="19" spans="1:232" hidden="1" x14ac:dyDescent="0.2">
      <c r="A19" s="59"/>
      <c r="B19" s="60">
        <v>9</v>
      </c>
      <c r="C19" s="60">
        <v>2</v>
      </c>
      <c r="D19" s="61" t="s">
        <v>279</v>
      </c>
      <c r="E19" s="62"/>
      <c r="F19" s="62"/>
      <c r="G19" s="62"/>
      <c r="H19" s="62"/>
      <c r="I19" s="62"/>
      <c r="J19" s="61" t="s">
        <v>295</v>
      </c>
      <c r="K19" s="60" t="s">
        <v>281</v>
      </c>
      <c r="L19" s="62" t="s">
        <v>274</v>
      </c>
      <c r="M19" s="63">
        <v>90018</v>
      </c>
      <c r="N19" s="62" t="s">
        <v>281</v>
      </c>
      <c r="O19" s="62"/>
      <c r="P19" s="62"/>
      <c r="Q19" s="62"/>
      <c r="R19" s="62"/>
      <c r="S19" s="64">
        <v>1059223.8500000001</v>
      </c>
      <c r="T19" s="65" t="s">
        <v>254</v>
      </c>
      <c r="U19" s="65">
        <v>175927.73</v>
      </c>
      <c r="V19" s="65">
        <f>SUM(LIST_LOCATIONDETAILS334[[#This Row],[Building]:[BI]])</f>
        <v>1235151.58</v>
      </c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0" t="s">
        <v>269</v>
      </c>
      <c r="AQ19" s="62"/>
      <c r="AR19" s="62"/>
      <c r="AS19" s="60" t="s">
        <v>282</v>
      </c>
      <c r="AT19" s="60">
        <v>1923</v>
      </c>
      <c r="AU19" s="62"/>
      <c r="AV19" s="63"/>
      <c r="AW19" s="63"/>
      <c r="AX19" s="62"/>
      <c r="AY19" s="62"/>
      <c r="AZ19" s="60"/>
      <c r="BA19" s="66">
        <v>2059</v>
      </c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2"/>
      <c r="CB19" s="62"/>
      <c r="CC19" s="62"/>
      <c r="CD19" s="62"/>
      <c r="CE19" s="62"/>
      <c r="CF19" s="62"/>
      <c r="CG19" s="62"/>
      <c r="CH19" s="62"/>
      <c r="CI19" s="62"/>
      <c r="CJ19" s="62"/>
      <c r="CK19" s="62"/>
      <c r="CL19" s="62"/>
      <c r="CM19" s="62"/>
      <c r="CN19" s="62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62"/>
      <c r="DS19" s="62"/>
      <c r="DT19" s="62"/>
      <c r="DU19" s="62"/>
      <c r="DV19" s="62"/>
      <c r="DW19" s="62"/>
      <c r="DX19" s="62"/>
      <c r="DY19" s="62"/>
      <c r="DZ19" s="62"/>
      <c r="EA19" s="62"/>
      <c r="EB19" s="62"/>
      <c r="EC19" s="62"/>
      <c r="ED19" s="62"/>
      <c r="EE19" s="62"/>
      <c r="EF19" s="62"/>
      <c r="EG19" s="62"/>
      <c r="EH19" s="62"/>
      <c r="EI19" s="62"/>
      <c r="EJ19" s="62"/>
      <c r="EK19" s="62"/>
      <c r="EL19" s="62"/>
      <c r="EM19" s="62"/>
      <c r="EN19" s="62"/>
      <c r="EO19" s="62"/>
      <c r="EP19" s="62"/>
      <c r="EQ19" s="62"/>
      <c r="ER19" s="62"/>
      <c r="ES19" s="62"/>
      <c r="ET19" s="62"/>
      <c r="EU19" s="62"/>
      <c r="EV19" s="62"/>
      <c r="EW19" s="62"/>
      <c r="EX19" s="62"/>
      <c r="EY19" s="62"/>
      <c r="EZ19" s="62"/>
      <c r="FA19" s="62"/>
      <c r="FB19" s="62"/>
      <c r="FC19" s="62"/>
      <c r="FD19" s="62"/>
      <c r="FE19" s="62"/>
      <c r="FF19" s="62"/>
      <c r="FG19" s="62"/>
      <c r="FH19" s="62"/>
      <c r="FI19" s="62"/>
      <c r="FJ19" s="67"/>
      <c r="FK19" s="67"/>
      <c r="FL19" s="67"/>
      <c r="FM19" s="67"/>
      <c r="FN19" s="67"/>
      <c r="FO19" s="67"/>
      <c r="FP19" s="67"/>
      <c r="FQ19" s="67"/>
      <c r="FR19" s="62"/>
      <c r="FS19" s="62"/>
      <c r="FT19" s="62"/>
      <c r="FU19" s="62"/>
      <c r="FV19" s="62"/>
      <c r="FW19" s="62"/>
      <c r="FX19" s="62"/>
      <c r="FY19" s="62"/>
      <c r="FZ19" s="62"/>
      <c r="GA19" s="62"/>
      <c r="GB19" s="62"/>
      <c r="GC19" s="62"/>
      <c r="GD19" s="62"/>
      <c r="GE19" s="62"/>
      <c r="GF19" s="63"/>
      <c r="GG19" s="63"/>
      <c r="GH19" s="62"/>
      <c r="GI19" s="62"/>
      <c r="GJ19" s="62"/>
      <c r="GK19" s="62"/>
      <c r="GL19" s="62"/>
      <c r="GM19" s="62"/>
      <c r="GN19" s="62"/>
      <c r="GO19" s="62"/>
      <c r="GP19" s="62"/>
      <c r="GQ19" s="62"/>
      <c r="GR19" s="62"/>
      <c r="GS19" s="62"/>
      <c r="GT19" s="62"/>
      <c r="GU19" s="62"/>
      <c r="GV19" s="62"/>
      <c r="GW19" s="62"/>
      <c r="GX19" s="62"/>
      <c r="GY19" s="62"/>
      <c r="GZ19" s="62"/>
      <c r="HA19" s="62"/>
      <c r="HB19" s="62"/>
      <c r="HC19" s="62"/>
      <c r="HD19" s="62"/>
      <c r="HE19" s="62"/>
      <c r="HF19" s="62"/>
      <c r="HG19" s="68" t="s">
        <v>283</v>
      </c>
      <c r="HH19" s="62" t="s">
        <v>258</v>
      </c>
      <c r="HI19" s="62"/>
      <c r="HJ19" s="69">
        <v>6</v>
      </c>
      <c r="HK19" s="62">
        <v>2019</v>
      </c>
      <c r="HL19" s="62" t="s">
        <v>285</v>
      </c>
      <c r="HM19" s="62">
        <v>2019</v>
      </c>
      <c r="HN19" s="62">
        <v>2019</v>
      </c>
      <c r="HO19" s="62">
        <v>2019</v>
      </c>
      <c r="HP19" s="70">
        <v>1</v>
      </c>
      <c r="HQ19" s="70">
        <v>0</v>
      </c>
      <c r="HR19" s="70">
        <v>0</v>
      </c>
      <c r="HS19" s="70">
        <v>0</v>
      </c>
      <c r="HT19" s="70">
        <v>1</v>
      </c>
      <c r="HU19" s="62" t="s">
        <v>286</v>
      </c>
      <c r="HV19" s="62" t="s">
        <v>263</v>
      </c>
      <c r="HW19" s="62"/>
      <c r="HX19" s="62"/>
    </row>
    <row r="20" spans="1:232" x14ac:dyDescent="0.2">
      <c r="A20" s="59"/>
      <c r="B20" s="60">
        <v>10</v>
      </c>
      <c r="C20" s="60">
        <v>1</v>
      </c>
      <c r="D20" s="61" t="s">
        <v>296</v>
      </c>
      <c r="E20" s="62"/>
      <c r="F20" s="62"/>
      <c r="G20" s="62"/>
      <c r="H20" s="62"/>
      <c r="I20" s="62"/>
      <c r="J20" s="61" t="s">
        <v>297</v>
      </c>
      <c r="K20" s="60" t="s">
        <v>296</v>
      </c>
      <c r="L20" s="62" t="s">
        <v>298</v>
      </c>
      <c r="M20" s="63">
        <v>89102</v>
      </c>
      <c r="N20" s="62" t="s">
        <v>299</v>
      </c>
      <c r="O20" s="62"/>
      <c r="P20" s="62"/>
      <c r="Q20" s="62"/>
      <c r="R20" s="62"/>
      <c r="S20" s="64">
        <v>1500000</v>
      </c>
      <c r="T20" s="65">
        <v>10000</v>
      </c>
      <c r="U20" s="65">
        <v>375588</v>
      </c>
      <c r="V20" s="65">
        <f>SUM(LIST_LOCATIONDETAILS334[[#This Row],[Building]:[BI]])</f>
        <v>1885588</v>
      </c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0" t="s">
        <v>269</v>
      </c>
      <c r="AQ20" s="62"/>
      <c r="AR20" s="62"/>
      <c r="AS20" s="60" t="s">
        <v>282</v>
      </c>
      <c r="AT20" s="60" t="s">
        <v>300</v>
      </c>
      <c r="AU20" s="62"/>
      <c r="AV20" s="63"/>
      <c r="AW20" s="63"/>
      <c r="AX20" s="62"/>
      <c r="AY20" s="62"/>
      <c r="AZ20" s="60">
        <v>2</v>
      </c>
      <c r="BA20" s="66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2"/>
      <c r="CB20" s="62"/>
      <c r="CC20" s="62"/>
      <c r="CD20" s="62"/>
      <c r="CE20" s="62"/>
      <c r="CF20" s="62"/>
      <c r="CG20" s="62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  <c r="EA20" s="62"/>
      <c r="EB20" s="62"/>
      <c r="EC20" s="62"/>
      <c r="ED20" s="62"/>
      <c r="EE20" s="62"/>
      <c r="EF20" s="62"/>
      <c r="EG20" s="62"/>
      <c r="EH20" s="62"/>
      <c r="EI20" s="62"/>
      <c r="EJ20" s="62"/>
      <c r="EK20" s="62"/>
      <c r="EL20" s="62"/>
      <c r="EM20" s="62"/>
      <c r="EN20" s="62"/>
      <c r="EO20" s="62"/>
      <c r="EP20" s="62"/>
      <c r="EQ20" s="62"/>
      <c r="ER20" s="62"/>
      <c r="ES20" s="62"/>
      <c r="ET20" s="62"/>
      <c r="EU20" s="62"/>
      <c r="EV20" s="62"/>
      <c r="EW20" s="62"/>
      <c r="EX20" s="62"/>
      <c r="EY20" s="62"/>
      <c r="EZ20" s="62"/>
      <c r="FA20" s="62"/>
      <c r="FB20" s="62"/>
      <c r="FC20" s="62"/>
      <c r="FD20" s="62"/>
      <c r="FE20" s="62"/>
      <c r="FF20" s="62"/>
      <c r="FG20" s="62"/>
      <c r="FH20" s="62"/>
      <c r="FI20" s="62"/>
      <c r="FJ20" s="67"/>
      <c r="FK20" s="67"/>
      <c r="FL20" s="67"/>
      <c r="FM20" s="67"/>
      <c r="FN20" s="67"/>
      <c r="FO20" s="67"/>
      <c r="FP20" s="67"/>
      <c r="FQ20" s="67"/>
      <c r="FR20" s="62"/>
      <c r="FS20" s="62"/>
      <c r="FT20" s="62"/>
      <c r="FU20" s="62"/>
      <c r="FV20" s="62"/>
      <c r="FW20" s="62"/>
      <c r="FX20" s="62"/>
      <c r="FY20" s="62"/>
      <c r="FZ20" s="62"/>
      <c r="GA20" s="62"/>
      <c r="GB20" s="62"/>
      <c r="GC20" s="62"/>
      <c r="GD20" s="62"/>
      <c r="GE20" s="62"/>
      <c r="GF20" s="63"/>
      <c r="GG20" s="63"/>
      <c r="GH20" s="62"/>
      <c r="GI20" s="62"/>
      <c r="GJ20" s="62"/>
      <c r="GK20" s="62"/>
      <c r="GL20" s="62"/>
      <c r="GM20" s="62"/>
      <c r="GN20" s="62"/>
      <c r="GO20" s="62"/>
      <c r="GP20" s="62"/>
      <c r="GQ20" s="62"/>
      <c r="GR20" s="62"/>
      <c r="GS20" s="62"/>
      <c r="GT20" s="62"/>
      <c r="GU20" s="62"/>
      <c r="GV20" s="62"/>
      <c r="GW20" s="62"/>
      <c r="GX20" s="62"/>
      <c r="GY20" s="62"/>
      <c r="GZ20" s="62"/>
      <c r="HA20" s="62"/>
      <c r="HB20" s="62"/>
      <c r="HC20" s="62"/>
      <c r="HD20" s="62"/>
      <c r="HE20" s="62"/>
      <c r="HF20" s="62"/>
      <c r="HG20" s="68" t="s">
        <v>257</v>
      </c>
      <c r="HH20" s="62"/>
      <c r="HI20" s="62"/>
      <c r="HJ20" s="69">
        <v>16</v>
      </c>
      <c r="HK20" s="62">
        <v>2018</v>
      </c>
      <c r="HL20" s="62" t="s">
        <v>301</v>
      </c>
      <c r="HM20" s="62" t="s">
        <v>302</v>
      </c>
      <c r="HN20" s="62" t="s">
        <v>261</v>
      </c>
      <c r="HO20" s="62">
        <v>2010</v>
      </c>
      <c r="HP20" s="70">
        <v>1</v>
      </c>
      <c r="HQ20" s="70">
        <v>0</v>
      </c>
      <c r="HR20" s="70">
        <v>0</v>
      </c>
      <c r="HS20" s="70">
        <v>0</v>
      </c>
      <c r="HT20" s="70">
        <v>0.94</v>
      </c>
      <c r="HU20" s="62" t="s">
        <v>271</v>
      </c>
      <c r="HV20" s="62" t="s">
        <v>263</v>
      </c>
      <c r="HW20" s="62"/>
      <c r="HX20" s="62"/>
    </row>
    <row r="21" spans="1:232" x14ac:dyDescent="0.2">
      <c r="B21" s="60">
        <v>12</v>
      </c>
      <c r="C21" s="60">
        <v>1</v>
      </c>
      <c r="D21" s="61" t="s">
        <v>303</v>
      </c>
      <c r="E21" s="62"/>
      <c r="F21" s="62"/>
      <c r="G21" s="62"/>
      <c r="H21" s="62"/>
      <c r="I21" s="62"/>
      <c r="J21" s="61" t="s">
        <v>304</v>
      </c>
      <c r="K21" s="60" t="s">
        <v>303</v>
      </c>
      <c r="L21" s="62" t="s">
        <v>252</v>
      </c>
      <c r="M21" s="63">
        <v>61542</v>
      </c>
      <c r="N21" s="73" t="s">
        <v>305</v>
      </c>
      <c r="O21" s="73"/>
      <c r="P21" s="73"/>
      <c r="Q21" s="73"/>
      <c r="R21" s="73"/>
      <c r="S21" s="71">
        <v>13976200</v>
      </c>
      <c r="T21" s="74">
        <v>40000</v>
      </c>
      <c r="U21" s="74">
        <v>1969836</v>
      </c>
      <c r="V21" s="74">
        <f>SUM(LIST_LOCATIONDETAILS334[[#This Row],[Building]:[BI]])</f>
        <v>15986036</v>
      </c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0" t="s">
        <v>269</v>
      </c>
      <c r="AQ21" s="62"/>
      <c r="AR21" s="62"/>
      <c r="AS21" s="60" t="s">
        <v>256</v>
      </c>
      <c r="AT21" s="60">
        <v>1982</v>
      </c>
      <c r="AU21" s="62"/>
      <c r="AV21" s="63"/>
      <c r="AW21" s="63"/>
      <c r="AX21" s="62"/>
      <c r="AY21" s="62"/>
      <c r="AZ21" s="60">
        <v>1</v>
      </c>
      <c r="BA21" s="60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2"/>
      <c r="CB21" s="62"/>
      <c r="CC21" s="62"/>
      <c r="CD21" s="62"/>
      <c r="CE21" s="62"/>
      <c r="CF21" s="62"/>
      <c r="CG21" s="62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  <c r="EA21" s="62"/>
      <c r="EB21" s="62"/>
      <c r="EC21" s="62"/>
      <c r="ED21" s="62"/>
      <c r="EE21" s="62"/>
      <c r="EF21" s="62"/>
      <c r="EG21" s="62"/>
      <c r="EH21" s="62"/>
      <c r="EI21" s="62"/>
      <c r="EJ21" s="62"/>
      <c r="EK21" s="62"/>
      <c r="EL21" s="62"/>
      <c r="EM21" s="62"/>
      <c r="EN21" s="62"/>
      <c r="EO21" s="62"/>
      <c r="EP21" s="62"/>
      <c r="EQ21" s="62"/>
      <c r="ER21" s="62"/>
      <c r="ES21" s="62"/>
      <c r="ET21" s="62"/>
      <c r="EU21" s="62"/>
      <c r="EV21" s="62"/>
      <c r="EW21" s="62"/>
      <c r="EX21" s="62"/>
      <c r="EY21" s="62"/>
      <c r="EZ21" s="62"/>
      <c r="FA21" s="62"/>
      <c r="FB21" s="62"/>
      <c r="FC21" s="62"/>
      <c r="FD21" s="62"/>
      <c r="FE21" s="62"/>
      <c r="FF21" s="62"/>
      <c r="FG21" s="62"/>
      <c r="FH21" s="62"/>
      <c r="FI21" s="62"/>
      <c r="FJ21" s="67"/>
      <c r="FK21" s="67"/>
      <c r="FL21" s="67"/>
      <c r="FM21" s="67"/>
      <c r="FN21" s="67"/>
      <c r="FO21" s="67"/>
      <c r="FP21" s="67"/>
      <c r="FQ21" s="67"/>
      <c r="FR21" s="62"/>
      <c r="FS21" s="62"/>
      <c r="FT21" s="62"/>
      <c r="FU21" s="62"/>
      <c r="FV21" s="62"/>
      <c r="FW21" s="62"/>
      <c r="FX21" s="62"/>
      <c r="FY21" s="62"/>
      <c r="FZ21" s="62"/>
      <c r="GA21" s="62"/>
      <c r="GB21" s="62"/>
      <c r="GC21" s="62"/>
      <c r="GD21" s="62"/>
      <c r="GE21" s="62"/>
      <c r="GF21" s="63"/>
      <c r="GG21" s="63"/>
      <c r="GH21" s="62"/>
      <c r="GI21" s="62"/>
      <c r="GJ21" s="62"/>
      <c r="GK21" s="62"/>
      <c r="GL21" s="62"/>
      <c r="GM21" s="62"/>
      <c r="GN21" s="62"/>
      <c r="GO21" s="62"/>
      <c r="GP21" s="62"/>
      <c r="GQ21" s="62"/>
      <c r="GR21" s="62"/>
      <c r="GS21" s="62"/>
      <c r="GT21" s="62"/>
      <c r="GU21" s="62"/>
      <c r="GV21" s="62"/>
      <c r="GW21" s="62"/>
      <c r="GX21" s="62"/>
      <c r="GY21" s="62"/>
      <c r="GZ21" s="62"/>
      <c r="HA21" s="62"/>
      <c r="HB21" s="62"/>
      <c r="HC21" s="62"/>
      <c r="HD21" s="62"/>
      <c r="HE21" s="62"/>
      <c r="HF21" s="62"/>
      <c r="HG21" s="68" t="s">
        <v>257</v>
      </c>
      <c r="HH21" s="62"/>
      <c r="HI21" s="62"/>
      <c r="HJ21" s="62">
        <v>201</v>
      </c>
      <c r="HK21" s="62">
        <v>2014</v>
      </c>
      <c r="HL21" s="62" t="s">
        <v>270</v>
      </c>
      <c r="HM21" s="62"/>
      <c r="HN21" s="62"/>
      <c r="HO21" s="62"/>
      <c r="HP21" s="70">
        <v>0.96</v>
      </c>
      <c r="HQ21" s="70">
        <v>0</v>
      </c>
      <c r="HR21" s="70">
        <v>1</v>
      </c>
      <c r="HS21" s="70">
        <v>0</v>
      </c>
      <c r="HT21" s="70">
        <v>0.83</v>
      </c>
      <c r="HU21" s="62" t="s">
        <v>262</v>
      </c>
      <c r="HV21" s="62" t="s">
        <v>263</v>
      </c>
      <c r="HW21" s="62"/>
      <c r="HX21" s="62"/>
    </row>
    <row r="22" spans="1:232" hidden="1" x14ac:dyDescent="0.2">
      <c r="B22" s="60">
        <v>13</v>
      </c>
      <c r="C22" s="60">
        <v>1</v>
      </c>
      <c r="D22" s="61" t="s">
        <v>306</v>
      </c>
      <c r="E22" s="62"/>
      <c r="F22" s="62"/>
      <c r="G22" s="62"/>
      <c r="H22" s="62"/>
      <c r="I22" s="62"/>
      <c r="J22" s="61" t="s">
        <v>307</v>
      </c>
      <c r="K22" s="60" t="s">
        <v>308</v>
      </c>
      <c r="L22" s="62" t="s">
        <v>309</v>
      </c>
      <c r="M22" s="63">
        <v>85204</v>
      </c>
      <c r="N22" s="73" t="s">
        <v>310</v>
      </c>
      <c r="O22" s="73"/>
      <c r="P22" s="73"/>
      <c r="Q22" s="73"/>
      <c r="R22" s="73"/>
      <c r="S22" s="71">
        <v>682033.91</v>
      </c>
      <c r="T22" s="74" t="s">
        <v>254</v>
      </c>
      <c r="U22" s="74">
        <v>85955.83</v>
      </c>
      <c r="V22" s="74">
        <f>SUM(LIST_LOCATIONDETAILS334[[#This Row],[Building]:[BI]])</f>
        <v>767989.74</v>
      </c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0" t="s">
        <v>269</v>
      </c>
      <c r="AQ22" s="62"/>
      <c r="AR22" s="62"/>
      <c r="AS22" s="60" t="s">
        <v>282</v>
      </c>
      <c r="AT22" s="60">
        <v>1981</v>
      </c>
      <c r="AU22" s="62"/>
      <c r="AV22" s="63"/>
      <c r="AW22" s="63"/>
      <c r="AX22" s="62"/>
      <c r="AY22" s="62"/>
      <c r="AZ22" s="60">
        <v>2</v>
      </c>
      <c r="BA22" s="60">
        <v>4722</v>
      </c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2"/>
      <c r="CD22" s="62"/>
      <c r="CE22" s="62"/>
      <c r="CF22" s="62"/>
      <c r="CG22" s="62"/>
      <c r="CH22" s="62"/>
      <c r="CI22" s="62"/>
      <c r="CJ22" s="62"/>
      <c r="CK22" s="62"/>
      <c r="CL22" s="62"/>
      <c r="CM22" s="62"/>
      <c r="CN22" s="62"/>
      <c r="CO22" s="62"/>
      <c r="CP22" s="62"/>
      <c r="CQ22" s="62"/>
      <c r="CR22" s="62"/>
      <c r="CS22" s="62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2"/>
      <c r="DH22" s="62"/>
      <c r="DI22" s="62"/>
      <c r="DJ22" s="62"/>
      <c r="DK22" s="62"/>
      <c r="DL22" s="62"/>
      <c r="DM22" s="62"/>
      <c r="DN22" s="62"/>
      <c r="DO22" s="62"/>
      <c r="DP22" s="62"/>
      <c r="DQ22" s="62"/>
      <c r="DR22" s="62"/>
      <c r="DS22" s="62"/>
      <c r="DT22" s="62"/>
      <c r="DU22" s="62"/>
      <c r="DV22" s="62"/>
      <c r="DW22" s="62"/>
      <c r="DX22" s="62"/>
      <c r="DY22" s="62"/>
      <c r="DZ22" s="62"/>
      <c r="EA22" s="62"/>
      <c r="EB22" s="62"/>
      <c r="EC22" s="62"/>
      <c r="ED22" s="62"/>
      <c r="EE22" s="62"/>
      <c r="EF22" s="62"/>
      <c r="EG22" s="62"/>
      <c r="EH22" s="62"/>
      <c r="EI22" s="62"/>
      <c r="EJ22" s="62"/>
      <c r="EK22" s="62"/>
      <c r="EL22" s="62"/>
      <c r="EM22" s="62"/>
      <c r="EN22" s="62"/>
      <c r="EO22" s="62"/>
      <c r="EP22" s="62"/>
      <c r="EQ22" s="62"/>
      <c r="ER22" s="62"/>
      <c r="ES22" s="62"/>
      <c r="ET22" s="62"/>
      <c r="EU22" s="62"/>
      <c r="EV22" s="62"/>
      <c r="EW22" s="62"/>
      <c r="EX22" s="62"/>
      <c r="EY22" s="62"/>
      <c r="EZ22" s="62"/>
      <c r="FA22" s="62"/>
      <c r="FB22" s="62"/>
      <c r="FC22" s="62"/>
      <c r="FD22" s="62"/>
      <c r="FE22" s="62"/>
      <c r="FF22" s="62"/>
      <c r="FG22" s="62"/>
      <c r="FH22" s="62"/>
      <c r="FI22" s="62"/>
      <c r="FJ22" s="67"/>
      <c r="FK22" s="67"/>
      <c r="FL22" s="67"/>
      <c r="FM22" s="67"/>
      <c r="FN22" s="67"/>
      <c r="FO22" s="67"/>
      <c r="FP22" s="67"/>
      <c r="FQ22" s="67"/>
      <c r="FR22" s="62"/>
      <c r="FS22" s="62"/>
      <c r="FT22" s="62"/>
      <c r="FU22" s="62"/>
      <c r="FV22" s="62"/>
      <c r="FW22" s="62"/>
      <c r="FX22" s="62"/>
      <c r="FY22" s="62"/>
      <c r="FZ22" s="62"/>
      <c r="GA22" s="62"/>
      <c r="GB22" s="62"/>
      <c r="GC22" s="62"/>
      <c r="GD22" s="62"/>
      <c r="GE22" s="62"/>
      <c r="GF22" s="63"/>
      <c r="GG22" s="63"/>
      <c r="GH22" s="62"/>
      <c r="GI22" s="62"/>
      <c r="GJ22" s="62"/>
      <c r="GK22" s="62"/>
      <c r="GL22" s="62"/>
      <c r="GM22" s="62"/>
      <c r="GN22" s="62"/>
      <c r="GO22" s="62"/>
      <c r="GP22" s="62"/>
      <c r="GQ22" s="62"/>
      <c r="GR22" s="62"/>
      <c r="GS22" s="62"/>
      <c r="GT22" s="62"/>
      <c r="GU22" s="62"/>
      <c r="GV22" s="62"/>
      <c r="GW22" s="62"/>
      <c r="GX22" s="62"/>
      <c r="GY22" s="62"/>
      <c r="GZ22" s="62"/>
      <c r="HA22" s="62"/>
      <c r="HB22" s="62"/>
      <c r="HC22" s="62"/>
      <c r="HD22" s="62"/>
      <c r="HE22" s="62"/>
      <c r="HF22" s="62"/>
      <c r="HG22" s="68" t="s">
        <v>257</v>
      </c>
      <c r="HH22" s="62" t="s">
        <v>258</v>
      </c>
      <c r="HI22" s="62"/>
      <c r="HJ22" s="62">
        <v>5</v>
      </c>
      <c r="HK22" s="62">
        <v>2021</v>
      </c>
      <c r="HL22" s="62" t="s">
        <v>311</v>
      </c>
      <c r="HM22" s="62">
        <v>2021</v>
      </c>
      <c r="HN22" s="62">
        <v>2021</v>
      </c>
      <c r="HO22" s="62">
        <v>2021</v>
      </c>
      <c r="HP22" s="70">
        <v>1</v>
      </c>
      <c r="HQ22" s="70">
        <v>0</v>
      </c>
      <c r="HR22" s="70">
        <v>0</v>
      </c>
      <c r="HS22" s="70">
        <v>0</v>
      </c>
      <c r="HT22" s="70">
        <v>1</v>
      </c>
      <c r="HU22" s="62" t="s">
        <v>271</v>
      </c>
      <c r="HV22" s="62" t="s">
        <v>263</v>
      </c>
      <c r="HW22" s="62"/>
      <c r="HX22" s="62"/>
    </row>
    <row r="23" spans="1:232" hidden="1" x14ac:dyDescent="0.2">
      <c r="B23" s="60">
        <v>13</v>
      </c>
      <c r="C23" s="60">
        <v>2</v>
      </c>
      <c r="D23" s="61" t="s">
        <v>306</v>
      </c>
      <c r="E23" s="62"/>
      <c r="F23" s="62"/>
      <c r="G23" s="62"/>
      <c r="H23" s="62"/>
      <c r="I23" s="62"/>
      <c r="J23" s="61" t="s">
        <v>307</v>
      </c>
      <c r="K23" s="60" t="s">
        <v>308</v>
      </c>
      <c r="L23" s="62" t="s">
        <v>309</v>
      </c>
      <c r="M23" s="63">
        <v>85204</v>
      </c>
      <c r="N23" s="73" t="s">
        <v>310</v>
      </c>
      <c r="O23" s="73"/>
      <c r="P23" s="73"/>
      <c r="Q23" s="73"/>
      <c r="R23" s="73"/>
      <c r="S23" s="71">
        <v>682033.91</v>
      </c>
      <c r="T23" s="74" t="s">
        <v>254</v>
      </c>
      <c r="U23" s="74">
        <v>85955.83</v>
      </c>
      <c r="V23" s="74">
        <f>SUM(LIST_LOCATIONDETAILS334[[#This Row],[Building]:[BI]])</f>
        <v>767989.74</v>
      </c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0" t="s">
        <v>269</v>
      </c>
      <c r="AQ23" s="62"/>
      <c r="AR23" s="62"/>
      <c r="AS23" s="60" t="s">
        <v>282</v>
      </c>
      <c r="AT23" s="60">
        <v>1981</v>
      </c>
      <c r="AU23" s="62"/>
      <c r="AV23" s="63"/>
      <c r="AW23" s="63"/>
      <c r="AX23" s="62"/>
      <c r="AY23" s="62"/>
      <c r="AZ23" s="60">
        <v>2</v>
      </c>
      <c r="BA23" s="60">
        <v>4722</v>
      </c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2"/>
      <c r="CB23" s="62"/>
      <c r="CC23" s="62"/>
      <c r="CD23" s="62"/>
      <c r="CE23" s="62"/>
      <c r="CF23" s="62"/>
      <c r="CG23" s="62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  <c r="EA23" s="62"/>
      <c r="EB23" s="62"/>
      <c r="EC23" s="62"/>
      <c r="ED23" s="62"/>
      <c r="EE23" s="62"/>
      <c r="EF23" s="62"/>
      <c r="EG23" s="62"/>
      <c r="EH23" s="62"/>
      <c r="EI23" s="62"/>
      <c r="EJ23" s="62"/>
      <c r="EK23" s="62"/>
      <c r="EL23" s="62"/>
      <c r="EM23" s="62"/>
      <c r="EN23" s="62"/>
      <c r="EO23" s="62"/>
      <c r="EP23" s="62"/>
      <c r="EQ23" s="62"/>
      <c r="ER23" s="62"/>
      <c r="ES23" s="62"/>
      <c r="ET23" s="62"/>
      <c r="EU23" s="62"/>
      <c r="EV23" s="62"/>
      <c r="EW23" s="62"/>
      <c r="EX23" s="62"/>
      <c r="EY23" s="62"/>
      <c r="EZ23" s="62"/>
      <c r="FA23" s="62"/>
      <c r="FB23" s="62"/>
      <c r="FC23" s="62"/>
      <c r="FD23" s="62"/>
      <c r="FE23" s="62"/>
      <c r="FF23" s="62"/>
      <c r="FG23" s="62"/>
      <c r="FH23" s="62"/>
      <c r="FI23" s="62"/>
      <c r="FJ23" s="67"/>
      <c r="FK23" s="67"/>
      <c r="FL23" s="67"/>
      <c r="FM23" s="67"/>
      <c r="FN23" s="67"/>
      <c r="FO23" s="67"/>
      <c r="FP23" s="67"/>
      <c r="FQ23" s="67"/>
      <c r="FR23" s="62"/>
      <c r="FS23" s="62"/>
      <c r="FT23" s="62"/>
      <c r="FU23" s="62"/>
      <c r="FV23" s="62"/>
      <c r="FW23" s="62"/>
      <c r="FX23" s="62"/>
      <c r="FY23" s="62"/>
      <c r="FZ23" s="62"/>
      <c r="GA23" s="62"/>
      <c r="GB23" s="62"/>
      <c r="GC23" s="62"/>
      <c r="GD23" s="62"/>
      <c r="GE23" s="62"/>
      <c r="GF23" s="63"/>
      <c r="GG23" s="63"/>
      <c r="GH23" s="62"/>
      <c r="GI23" s="62"/>
      <c r="GJ23" s="62"/>
      <c r="GK23" s="62"/>
      <c r="GL23" s="62"/>
      <c r="GM23" s="62"/>
      <c r="GN23" s="62"/>
      <c r="GO23" s="62"/>
      <c r="GP23" s="62"/>
      <c r="GQ23" s="62"/>
      <c r="GR23" s="62"/>
      <c r="GS23" s="62"/>
      <c r="GT23" s="62"/>
      <c r="GU23" s="62"/>
      <c r="GV23" s="62"/>
      <c r="GW23" s="62"/>
      <c r="GX23" s="62"/>
      <c r="GY23" s="62"/>
      <c r="GZ23" s="62"/>
      <c r="HA23" s="62"/>
      <c r="HB23" s="62"/>
      <c r="HC23" s="62"/>
      <c r="HD23" s="62"/>
      <c r="HE23" s="62"/>
      <c r="HF23" s="62"/>
      <c r="HG23" s="68" t="s">
        <v>257</v>
      </c>
      <c r="HH23" s="62" t="s">
        <v>258</v>
      </c>
      <c r="HI23" s="62"/>
      <c r="HJ23" s="62">
        <v>5</v>
      </c>
      <c r="HK23" s="62">
        <v>2021</v>
      </c>
      <c r="HL23" s="62" t="s">
        <v>311</v>
      </c>
      <c r="HM23" s="62">
        <v>2021</v>
      </c>
      <c r="HN23" s="62">
        <v>2021</v>
      </c>
      <c r="HO23" s="62">
        <v>2021</v>
      </c>
      <c r="HP23" s="70">
        <v>1</v>
      </c>
      <c r="HQ23" s="70">
        <v>0</v>
      </c>
      <c r="HR23" s="70">
        <v>0</v>
      </c>
      <c r="HS23" s="70">
        <v>0</v>
      </c>
      <c r="HT23" s="70">
        <v>1</v>
      </c>
      <c r="HU23" s="62" t="s">
        <v>271</v>
      </c>
      <c r="HV23" s="62" t="s">
        <v>263</v>
      </c>
      <c r="HW23" s="62"/>
      <c r="HX23" s="62"/>
    </row>
    <row r="24" spans="1:232" hidden="1" x14ac:dyDescent="0.2">
      <c r="B24" s="60">
        <v>13</v>
      </c>
      <c r="C24" s="60">
        <v>3</v>
      </c>
      <c r="D24" s="61" t="s">
        <v>306</v>
      </c>
      <c r="E24" s="62"/>
      <c r="F24" s="62"/>
      <c r="G24" s="62"/>
      <c r="H24" s="62"/>
      <c r="I24" s="62"/>
      <c r="J24" s="61" t="s">
        <v>307</v>
      </c>
      <c r="K24" s="60" t="s">
        <v>308</v>
      </c>
      <c r="L24" s="62" t="s">
        <v>309</v>
      </c>
      <c r="M24" s="63">
        <v>85204</v>
      </c>
      <c r="N24" s="73" t="s">
        <v>310</v>
      </c>
      <c r="O24" s="73"/>
      <c r="P24" s="73"/>
      <c r="Q24" s="73"/>
      <c r="R24" s="73"/>
      <c r="S24" s="71">
        <v>682033.91</v>
      </c>
      <c r="T24" s="74" t="s">
        <v>254</v>
      </c>
      <c r="U24" s="74">
        <v>85955.83</v>
      </c>
      <c r="V24" s="74">
        <f>SUM(LIST_LOCATIONDETAILS334[[#This Row],[Building]:[BI]])</f>
        <v>767989.74</v>
      </c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0" t="s">
        <v>269</v>
      </c>
      <c r="AQ24" s="62"/>
      <c r="AR24" s="62"/>
      <c r="AS24" s="60" t="s">
        <v>282</v>
      </c>
      <c r="AT24" s="60">
        <v>1981</v>
      </c>
      <c r="AU24" s="62"/>
      <c r="AV24" s="63"/>
      <c r="AW24" s="63"/>
      <c r="AX24" s="62"/>
      <c r="AY24" s="62"/>
      <c r="AZ24" s="60">
        <v>2</v>
      </c>
      <c r="BA24" s="60">
        <v>4722</v>
      </c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2"/>
      <c r="CB24" s="62"/>
      <c r="CC24" s="62"/>
      <c r="CD24" s="62"/>
      <c r="CE24" s="62"/>
      <c r="CF24" s="62"/>
      <c r="CG24" s="62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  <c r="EA24" s="62"/>
      <c r="EB24" s="62"/>
      <c r="EC24" s="62"/>
      <c r="ED24" s="62"/>
      <c r="EE24" s="62"/>
      <c r="EF24" s="62"/>
      <c r="EG24" s="62"/>
      <c r="EH24" s="62"/>
      <c r="EI24" s="62"/>
      <c r="EJ24" s="62"/>
      <c r="EK24" s="62"/>
      <c r="EL24" s="62"/>
      <c r="EM24" s="62"/>
      <c r="EN24" s="62"/>
      <c r="EO24" s="62"/>
      <c r="EP24" s="62"/>
      <c r="EQ24" s="62"/>
      <c r="ER24" s="62"/>
      <c r="ES24" s="62"/>
      <c r="ET24" s="62"/>
      <c r="EU24" s="62"/>
      <c r="EV24" s="62"/>
      <c r="EW24" s="62"/>
      <c r="EX24" s="62"/>
      <c r="EY24" s="62"/>
      <c r="EZ24" s="62"/>
      <c r="FA24" s="62"/>
      <c r="FB24" s="62"/>
      <c r="FC24" s="62"/>
      <c r="FD24" s="62"/>
      <c r="FE24" s="62"/>
      <c r="FF24" s="62"/>
      <c r="FG24" s="62"/>
      <c r="FH24" s="62"/>
      <c r="FI24" s="62"/>
      <c r="FJ24" s="67"/>
      <c r="FK24" s="67"/>
      <c r="FL24" s="67"/>
      <c r="FM24" s="67"/>
      <c r="FN24" s="67"/>
      <c r="FO24" s="67"/>
      <c r="FP24" s="67"/>
      <c r="FQ24" s="67"/>
      <c r="FR24" s="62"/>
      <c r="FS24" s="62"/>
      <c r="FT24" s="62"/>
      <c r="FU24" s="62"/>
      <c r="FV24" s="62"/>
      <c r="FW24" s="62"/>
      <c r="FX24" s="62"/>
      <c r="FY24" s="62"/>
      <c r="FZ24" s="62"/>
      <c r="GA24" s="62"/>
      <c r="GB24" s="62"/>
      <c r="GC24" s="62"/>
      <c r="GD24" s="62"/>
      <c r="GE24" s="62"/>
      <c r="GF24" s="63"/>
      <c r="GG24" s="63"/>
      <c r="GH24" s="62"/>
      <c r="GI24" s="62"/>
      <c r="GJ24" s="62"/>
      <c r="GK24" s="62"/>
      <c r="GL24" s="62"/>
      <c r="GM24" s="62"/>
      <c r="GN24" s="62"/>
      <c r="GO24" s="62"/>
      <c r="GP24" s="62"/>
      <c r="GQ24" s="62"/>
      <c r="GR24" s="62"/>
      <c r="GS24" s="62"/>
      <c r="GT24" s="62"/>
      <c r="GU24" s="62"/>
      <c r="GV24" s="62"/>
      <c r="GW24" s="62"/>
      <c r="GX24" s="62"/>
      <c r="GY24" s="62"/>
      <c r="GZ24" s="62"/>
      <c r="HA24" s="62"/>
      <c r="HB24" s="62"/>
      <c r="HC24" s="62"/>
      <c r="HD24" s="62"/>
      <c r="HE24" s="62"/>
      <c r="HF24" s="62"/>
      <c r="HG24" s="68" t="s">
        <v>257</v>
      </c>
      <c r="HH24" s="62" t="s">
        <v>258</v>
      </c>
      <c r="HI24" s="62"/>
      <c r="HJ24" s="62">
        <v>5</v>
      </c>
      <c r="HK24" s="62">
        <v>2021</v>
      </c>
      <c r="HL24" s="62" t="s">
        <v>311</v>
      </c>
      <c r="HM24" s="62">
        <v>2021</v>
      </c>
      <c r="HN24" s="62">
        <v>2021</v>
      </c>
      <c r="HO24" s="62">
        <v>2021</v>
      </c>
      <c r="HP24" s="70">
        <v>1</v>
      </c>
      <c r="HQ24" s="70">
        <v>0</v>
      </c>
      <c r="HR24" s="70">
        <v>0</v>
      </c>
      <c r="HS24" s="70">
        <v>0</v>
      </c>
      <c r="HT24" s="70">
        <v>1</v>
      </c>
      <c r="HU24" s="62" t="s">
        <v>271</v>
      </c>
      <c r="HV24" s="62" t="s">
        <v>263</v>
      </c>
      <c r="HW24" s="62"/>
      <c r="HX24" s="62"/>
    </row>
    <row r="25" spans="1:232" hidden="1" x14ac:dyDescent="0.2">
      <c r="B25" s="60">
        <v>13</v>
      </c>
      <c r="C25" s="60">
        <v>4</v>
      </c>
      <c r="D25" s="61" t="s">
        <v>306</v>
      </c>
      <c r="E25" s="62"/>
      <c r="F25" s="62"/>
      <c r="G25" s="62"/>
      <c r="H25" s="62"/>
      <c r="I25" s="62"/>
      <c r="J25" s="61" t="s">
        <v>307</v>
      </c>
      <c r="K25" s="60" t="s">
        <v>308</v>
      </c>
      <c r="L25" s="62" t="s">
        <v>309</v>
      </c>
      <c r="M25" s="63">
        <v>85204</v>
      </c>
      <c r="N25" s="73" t="s">
        <v>310</v>
      </c>
      <c r="O25" s="73"/>
      <c r="P25" s="73"/>
      <c r="Q25" s="73"/>
      <c r="R25" s="73"/>
      <c r="S25" s="71">
        <v>682033.91</v>
      </c>
      <c r="T25" s="74" t="s">
        <v>254</v>
      </c>
      <c r="U25" s="74">
        <v>85955.83</v>
      </c>
      <c r="V25" s="74">
        <f>SUM(LIST_LOCATIONDETAILS334[[#This Row],[Building]:[BI]])</f>
        <v>767989.74</v>
      </c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0" t="s">
        <v>269</v>
      </c>
      <c r="AQ25" s="62"/>
      <c r="AR25" s="62"/>
      <c r="AS25" s="60" t="s">
        <v>282</v>
      </c>
      <c r="AT25" s="60">
        <v>1981</v>
      </c>
      <c r="AU25" s="62"/>
      <c r="AV25" s="63"/>
      <c r="AW25" s="63"/>
      <c r="AX25" s="62"/>
      <c r="AY25" s="62"/>
      <c r="AZ25" s="60">
        <v>2</v>
      </c>
      <c r="BA25" s="60">
        <v>4722</v>
      </c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2"/>
      <c r="CB25" s="62"/>
      <c r="CC25" s="62"/>
      <c r="CD25" s="62"/>
      <c r="CE25" s="62"/>
      <c r="CF25" s="62"/>
      <c r="CG25" s="62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  <c r="EA25" s="62"/>
      <c r="EB25" s="62"/>
      <c r="EC25" s="62"/>
      <c r="ED25" s="62"/>
      <c r="EE25" s="62"/>
      <c r="EF25" s="62"/>
      <c r="EG25" s="62"/>
      <c r="EH25" s="62"/>
      <c r="EI25" s="62"/>
      <c r="EJ25" s="62"/>
      <c r="EK25" s="62"/>
      <c r="EL25" s="62"/>
      <c r="EM25" s="62"/>
      <c r="EN25" s="62"/>
      <c r="EO25" s="62"/>
      <c r="EP25" s="62"/>
      <c r="EQ25" s="62"/>
      <c r="ER25" s="62"/>
      <c r="ES25" s="62"/>
      <c r="ET25" s="62"/>
      <c r="EU25" s="62"/>
      <c r="EV25" s="62"/>
      <c r="EW25" s="62"/>
      <c r="EX25" s="62"/>
      <c r="EY25" s="62"/>
      <c r="EZ25" s="62"/>
      <c r="FA25" s="62"/>
      <c r="FB25" s="62"/>
      <c r="FC25" s="62"/>
      <c r="FD25" s="62"/>
      <c r="FE25" s="62"/>
      <c r="FF25" s="62"/>
      <c r="FG25" s="62"/>
      <c r="FH25" s="62"/>
      <c r="FI25" s="62"/>
      <c r="FJ25" s="67"/>
      <c r="FK25" s="67"/>
      <c r="FL25" s="67"/>
      <c r="FM25" s="67"/>
      <c r="FN25" s="67"/>
      <c r="FO25" s="67"/>
      <c r="FP25" s="67"/>
      <c r="FQ25" s="67"/>
      <c r="FR25" s="62"/>
      <c r="FS25" s="62"/>
      <c r="FT25" s="62"/>
      <c r="FU25" s="62"/>
      <c r="FV25" s="62"/>
      <c r="FW25" s="62"/>
      <c r="FX25" s="62"/>
      <c r="FY25" s="62"/>
      <c r="FZ25" s="62"/>
      <c r="GA25" s="62"/>
      <c r="GB25" s="62"/>
      <c r="GC25" s="62"/>
      <c r="GD25" s="62"/>
      <c r="GE25" s="62"/>
      <c r="GF25" s="63"/>
      <c r="GG25" s="63"/>
      <c r="GH25" s="62"/>
      <c r="GI25" s="62"/>
      <c r="GJ25" s="62"/>
      <c r="GK25" s="62"/>
      <c r="GL25" s="62"/>
      <c r="GM25" s="62"/>
      <c r="GN25" s="62"/>
      <c r="GO25" s="62"/>
      <c r="GP25" s="62"/>
      <c r="GQ25" s="62"/>
      <c r="GR25" s="62"/>
      <c r="GS25" s="62"/>
      <c r="GT25" s="62"/>
      <c r="GU25" s="62"/>
      <c r="GV25" s="62"/>
      <c r="GW25" s="62"/>
      <c r="GX25" s="62"/>
      <c r="GY25" s="62"/>
      <c r="GZ25" s="62"/>
      <c r="HA25" s="62"/>
      <c r="HB25" s="62"/>
      <c r="HC25" s="62"/>
      <c r="HD25" s="62"/>
      <c r="HE25" s="62"/>
      <c r="HF25" s="62"/>
      <c r="HG25" s="68" t="s">
        <v>257</v>
      </c>
      <c r="HH25" s="62" t="s">
        <v>258</v>
      </c>
      <c r="HI25" s="62"/>
      <c r="HJ25" s="62">
        <v>5</v>
      </c>
      <c r="HK25" s="62">
        <v>2021</v>
      </c>
      <c r="HL25" s="62" t="s">
        <v>311</v>
      </c>
      <c r="HM25" s="62">
        <v>2021</v>
      </c>
      <c r="HN25" s="62">
        <v>2021</v>
      </c>
      <c r="HO25" s="62">
        <v>2021</v>
      </c>
      <c r="HP25" s="70">
        <v>1</v>
      </c>
      <c r="HQ25" s="70">
        <v>0</v>
      </c>
      <c r="HR25" s="70">
        <v>0</v>
      </c>
      <c r="HS25" s="70">
        <v>0</v>
      </c>
      <c r="HT25" s="70">
        <v>1</v>
      </c>
      <c r="HU25" s="62" t="s">
        <v>271</v>
      </c>
      <c r="HV25" s="62" t="s">
        <v>263</v>
      </c>
      <c r="HW25" s="62"/>
      <c r="HX25" s="62"/>
    </row>
    <row r="26" spans="1:232" hidden="1" x14ac:dyDescent="0.2">
      <c r="B26" s="60">
        <v>13</v>
      </c>
      <c r="C26" s="60">
        <v>5</v>
      </c>
      <c r="D26" s="61" t="s">
        <v>306</v>
      </c>
      <c r="E26" s="62"/>
      <c r="F26" s="62"/>
      <c r="G26" s="62"/>
      <c r="H26" s="62"/>
      <c r="I26" s="62"/>
      <c r="J26" s="61" t="s">
        <v>307</v>
      </c>
      <c r="K26" s="60" t="s">
        <v>308</v>
      </c>
      <c r="L26" s="62" t="s">
        <v>309</v>
      </c>
      <c r="M26" s="63">
        <v>85204</v>
      </c>
      <c r="N26" s="73" t="s">
        <v>310</v>
      </c>
      <c r="O26" s="73"/>
      <c r="P26" s="73"/>
      <c r="Q26" s="73"/>
      <c r="R26" s="73"/>
      <c r="S26" s="71">
        <v>682033.91</v>
      </c>
      <c r="T26" s="74" t="s">
        <v>254</v>
      </c>
      <c r="U26" s="74">
        <v>85955.83</v>
      </c>
      <c r="V26" s="74">
        <f>SUM(LIST_LOCATIONDETAILS334[[#This Row],[Building]:[BI]])</f>
        <v>767989.74</v>
      </c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0" t="s">
        <v>269</v>
      </c>
      <c r="AQ26" s="62"/>
      <c r="AR26" s="62"/>
      <c r="AS26" s="60" t="s">
        <v>282</v>
      </c>
      <c r="AT26" s="60">
        <v>1981</v>
      </c>
      <c r="AU26" s="62"/>
      <c r="AV26" s="63"/>
      <c r="AW26" s="63"/>
      <c r="AX26" s="62"/>
      <c r="AY26" s="62"/>
      <c r="AZ26" s="60">
        <v>2</v>
      </c>
      <c r="BA26" s="60">
        <v>4722</v>
      </c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2"/>
      <c r="CB26" s="62"/>
      <c r="CC26" s="62"/>
      <c r="CD26" s="62"/>
      <c r="CE26" s="62"/>
      <c r="CF26" s="62"/>
      <c r="CG26" s="62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  <c r="EA26" s="62"/>
      <c r="EB26" s="62"/>
      <c r="EC26" s="62"/>
      <c r="ED26" s="62"/>
      <c r="EE26" s="62"/>
      <c r="EF26" s="62"/>
      <c r="EG26" s="62"/>
      <c r="EH26" s="62"/>
      <c r="EI26" s="62"/>
      <c r="EJ26" s="62"/>
      <c r="EK26" s="62"/>
      <c r="EL26" s="62"/>
      <c r="EM26" s="62"/>
      <c r="EN26" s="62"/>
      <c r="EO26" s="62"/>
      <c r="EP26" s="62"/>
      <c r="EQ26" s="62"/>
      <c r="ER26" s="62"/>
      <c r="ES26" s="62"/>
      <c r="ET26" s="62"/>
      <c r="EU26" s="62"/>
      <c r="EV26" s="62"/>
      <c r="EW26" s="62"/>
      <c r="EX26" s="62"/>
      <c r="EY26" s="62"/>
      <c r="EZ26" s="62"/>
      <c r="FA26" s="62"/>
      <c r="FB26" s="62"/>
      <c r="FC26" s="62"/>
      <c r="FD26" s="62"/>
      <c r="FE26" s="62"/>
      <c r="FF26" s="62"/>
      <c r="FG26" s="62"/>
      <c r="FH26" s="62"/>
      <c r="FI26" s="62"/>
      <c r="FJ26" s="67"/>
      <c r="FK26" s="67"/>
      <c r="FL26" s="67"/>
      <c r="FM26" s="67"/>
      <c r="FN26" s="67"/>
      <c r="FO26" s="67"/>
      <c r="FP26" s="67"/>
      <c r="FQ26" s="67"/>
      <c r="FR26" s="62"/>
      <c r="FS26" s="62"/>
      <c r="FT26" s="62"/>
      <c r="FU26" s="62"/>
      <c r="FV26" s="62"/>
      <c r="FW26" s="62"/>
      <c r="FX26" s="62"/>
      <c r="FY26" s="62"/>
      <c r="FZ26" s="62"/>
      <c r="GA26" s="62"/>
      <c r="GB26" s="62"/>
      <c r="GC26" s="62"/>
      <c r="GD26" s="62"/>
      <c r="GE26" s="62"/>
      <c r="GF26" s="63"/>
      <c r="GG26" s="63"/>
      <c r="GH26" s="62"/>
      <c r="GI26" s="62"/>
      <c r="GJ26" s="62"/>
      <c r="GK26" s="62"/>
      <c r="GL26" s="62"/>
      <c r="GM26" s="62"/>
      <c r="GN26" s="62"/>
      <c r="GO26" s="62"/>
      <c r="GP26" s="62"/>
      <c r="GQ26" s="62"/>
      <c r="GR26" s="62"/>
      <c r="GS26" s="62"/>
      <c r="GT26" s="62"/>
      <c r="GU26" s="62"/>
      <c r="GV26" s="62"/>
      <c r="GW26" s="62"/>
      <c r="GX26" s="62"/>
      <c r="GY26" s="62"/>
      <c r="GZ26" s="62"/>
      <c r="HA26" s="62"/>
      <c r="HB26" s="62"/>
      <c r="HC26" s="62"/>
      <c r="HD26" s="62"/>
      <c r="HE26" s="62"/>
      <c r="HF26" s="62"/>
      <c r="HG26" s="68" t="s">
        <v>257</v>
      </c>
      <c r="HH26" s="62" t="s">
        <v>258</v>
      </c>
      <c r="HI26" s="62"/>
      <c r="HJ26" s="62">
        <v>5</v>
      </c>
      <c r="HK26" s="62">
        <v>2021</v>
      </c>
      <c r="HL26" s="62" t="s">
        <v>311</v>
      </c>
      <c r="HM26" s="62">
        <v>2021</v>
      </c>
      <c r="HN26" s="62">
        <v>2021</v>
      </c>
      <c r="HO26" s="62">
        <v>2021</v>
      </c>
      <c r="HP26" s="70">
        <v>1</v>
      </c>
      <c r="HQ26" s="70">
        <v>0</v>
      </c>
      <c r="HR26" s="70">
        <v>0</v>
      </c>
      <c r="HS26" s="70">
        <v>0</v>
      </c>
      <c r="HT26" s="70">
        <v>1</v>
      </c>
      <c r="HU26" s="62" t="s">
        <v>271</v>
      </c>
      <c r="HV26" s="62" t="s">
        <v>263</v>
      </c>
      <c r="HW26" s="62"/>
      <c r="HX26" s="62"/>
    </row>
    <row r="27" spans="1:232" hidden="1" x14ac:dyDescent="0.2">
      <c r="B27" s="60">
        <v>13</v>
      </c>
      <c r="C27" s="60">
        <v>6</v>
      </c>
      <c r="D27" s="61" t="s">
        <v>306</v>
      </c>
      <c r="E27" s="62"/>
      <c r="F27" s="62"/>
      <c r="G27" s="62"/>
      <c r="H27" s="62"/>
      <c r="I27" s="62"/>
      <c r="J27" s="61" t="s">
        <v>307</v>
      </c>
      <c r="K27" s="60" t="s">
        <v>308</v>
      </c>
      <c r="L27" s="62" t="s">
        <v>309</v>
      </c>
      <c r="M27" s="63">
        <v>85204</v>
      </c>
      <c r="N27" s="73" t="s">
        <v>310</v>
      </c>
      <c r="O27" s="73"/>
      <c r="P27" s="73"/>
      <c r="Q27" s="73"/>
      <c r="R27" s="73"/>
      <c r="S27" s="71">
        <v>682033.91</v>
      </c>
      <c r="T27" s="74" t="s">
        <v>254</v>
      </c>
      <c r="U27" s="74">
        <v>85955.83</v>
      </c>
      <c r="V27" s="74">
        <f>SUM(LIST_LOCATIONDETAILS334[[#This Row],[Building]:[BI]])</f>
        <v>767989.74</v>
      </c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0" t="s">
        <v>269</v>
      </c>
      <c r="AQ27" s="62"/>
      <c r="AR27" s="62"/>
      <c r="AS27" s="60" t="s">
        <v>282</v>
      </c>
      <c r="AT27" s="60">
        <v>1981</v>
      </c>
      <c r="AU27" s="62"/>
      <c r="AV27" s="63"/>
      <c r="AW27" s="63"/>
      <c r="AX27" s="62"/>
      <c r="AY27" s="62"/>
      <c r="AZ27" s="60">
        <v>2</v>
      </c>
      <c r="BA27" s="60">
        <v>4722</v>
      </c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2"/>
      <c r="CB27" s="62"/>
      <c r="CC27" s="62"/>
      <c r="CD27" s="62"/>
      <c r="CE27" s="62"/>
      <c r="CF27" s="62"/>
      <c r="CG27" s="62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  <c r="EA27" s="62"/>
      <c r="EB27" s="62"/>
      <c r="EC27" s="62"/>
      <c r="ED27" s="62"/>
      <c r="EE27" s="62"/>
      <c r="EF27" s="62"/>
      <c r="EG27" s="62"/>
      <c r="EH27" s="62"/>
      <c r="EI27" s="62"/>
      <c r="EJ27" s="62"/>
      <c r="EK27" s="62"/>
      <c r="EL27" s="62"/>
      <c r="EM27" s="62"/>
      <c r="EN27" s="62"/>
      <c r="EO27" s="62"/>
      <c r="EP27" s="62"/>
      <c r="EQ27" s="62"/>
      <c r="ER27" s="62"/>
      <c r="ES27" s="62"/>
      <c r="ET27" s="62"/>
      <c r="EU27" s="62"/>
      <c r="EV27" s="62"/>
      <c r="EW27" s="62"/>
      <c r="EX27" s="62"/>
      <c r="EY27" s="62"/>
      <c r="EZ27" s="62"/>
      <c r="FA27" s="62"/>
      <c r="FB27" s="62"/>
      <c r="FC27" s="62"/>
      <c r="FD27" s="62"/>
      <c r="FE27" s="62"/>
      <c r="FF27" s="62"/>
      <c r="FG27" s="62"/>
      <c r="FH27" s="62"/>
      <c r="FI27" s="62"/>
      <c r="FJ27" s="67"/>
      <c r="FK27" s="67"/>
      <c r="FL27" s="67"/>
      <c r="FM27" s="67"/>
      <c r="FN27" s="67"/>
      <c r="FO27" s="67"/>
      <c r="FP27" s="67"/>
      <c r="FQ27" s="67"/>
      <c r="FR27" s="62"/>
      <c r="FS27" s="62"/>
      <c r="FT27" s="62"/>
      <c r="FU27" s="62"/>
      <c r="FV27" s="62"/>
      <c r="FW27" s="62"/>
      <c r="FX27" s="62"/>
      <c r="FY27" s="62"/>
      <c r="FZ27" s="62"/>
      <c r="GA27" s="62"/>
      <c r="GB27" s="62"/>
      <c r="GC27" s="62"/>
      <c r="GD27" s="62"/>
      <c r="GE27" s="62"/>
      <c r="GF27" s="63"/>
      <c r="GG27" s="63"/>
      <c r="GH27" s="62"/>
      <c r="GI27" s="62"/>
      <c r="GJ27" s="62"/>
      <c r="GK27" s="62"/>
      <c r="GL27" s="62"/>
      <c r="GM27" s="62"/>
      <c r="GN27" s="62"/>
      <c r="GO27" s="62"/>
      <c r="GP27" s="62"/>
      <c r="GQ27" s="62"/>
      <c r="GR27" s="62"/>
      <c r="GS27" s="62"/>
      <c r="GT27" s="62"/>
      <c r="GU27" s="62"/>
      <c r="GV27" s="62"/>
      <c r="GW27" s="62"/>
      <c r="GX27" s="62"/>
      <c r="GY27" s="62"/>
      <c r="GZ27" s="62"/>
      <c r="HA27" s="62"/>
      <c r="HB27" s="62"/>
      <c r="HC27" s="62"/>
      <c r="HD27" s="62"/>
      <c r="HE27" s="62"/>
      <c r="HF27" s="62"/>
      <c r="HG27" s="68" t="s">
        <v>257</v>
      </c>
      <c r="HH27" s="62" t="s">
        <v>258</v>
      </c>
      <c r="HI27" s="62"/>
      <c r="HJ27" s="62">
        <v>5</v>
      </c>
      <c r="HK27" s="62">
        <v>2021</v>
      </c>
      <c r="HL27" s="62" t="s">
        <v>311</v>
      </c>
      <c r="HM27" s="62">
        <v>2021</v>
      </c>
      <c r="HN27" s="62">
        <v>2021</v>
      </c>
      <c r="HO27" s="62">
        <v>2021</v>
      </c>
      <c r="HP27" s="70">
        <v>1</v>
      </c>
      <c r="HQ27" s="70">
        <v>0</v>
      </c>
      <c r="HR27" s="70">
        <v>0</v>
      </c>
      <c r="HS27" s="70">
        <v>0</v>
      </c>
      <c r="HT27" s="70">
        <v>1</v>
      </c>
      <c r="HU27" s="62" t="s">
        <v>271</v>
      </c>
      <c r="HV27" s="62" t="s">
        <v>263</v>
      </c>
      <c r="HW27" s="62"/>
      <c r="HX27" s="62"/>
    </row>
    <row r="28" spans="1:232" hidden="1" x14ac:dyDescent="0.2">
      <c r="B28" s="60">
        <v>13</v>
      </c>
      <c r="C28" s="60">
        <v>7</v>
      </c>
      <c r="D28" s="61" t="s">
        <v>306</v>
      </c>
      <c r="E28" s="62"/>
      <c r="F28" s="62"/>
      <c r="G28" s="62"/>
      <c r="H28" s="62"/>
      <c r="I28" s="62"/>
      <c r="J28" s="61" t="s">
        <v>307</v>
      </c>
      <c r="K28" s="60" t="s">
        <v>308</v>
      </c>
      <c r="L28" s="62" t="s">
        <v>309</v>
      </c>
      <c r="M28" s="63">
        <v>85204</v>
      </c>
      <c r="N28" s="73" t="s">
        <v>310</v>
      </c>
      <c r="O28" s="73"/>
      <c r="P28" s="73"/>
      <c r="Q28" s="73"/>
      <c r="R28" s="73"/>
      <c r="S28" s="71">
        <v>682033.91</v>
      </c>
      <c r="T28" s="74" t="s">
        <v>254</v>
      </c>
      <c r="U28" s="74">
        <v>85955.83</v>
      </c>
      <c r="V28" s="74">
        <f>SUM(LIST_LOCATIONDETAILS334[[#This Row],[Building]:[BI]])</f>
        <v>767989.74</v>
      </c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0" t="s">
        <v>269</v>
      </c>
      <c r="AQ28" s="62"/>
      <c r="AR28" s="62"/>
      <c r="AS28" s="60" t="s">
        <v>282</v>
      </c>
      <c r="AT28" s="60">
        <v>1981</v>
      </c>
      <c r="AU28" s="62"/>
      <c r="AV28" s="63"/>
      <c r="AW28" s="63"/>
      <c r="AX28" s="62"/>
      <c r="AY28" s="62"/>
      <c r="AZ28" s="60">
        <v>2</v>
      </c>
      <c r="BA28" s="60">
        <v>4722</v>
      </c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2"/>
      <c r="CB28" s="62"/>
      <c r="CC28" s="62"/>
      <c r="CD28" s="62"/>
      <c r="CE28" s="62"/>
      <c r="CF28" s="62"/>
      <c r="CG28" s="62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  <c r="EA28" s="62"/>
      <c r="EB28" s="62"/>
      <c r="EC28" s="62"/>
      <c r="ED28" s="62"/>
      <c r="EE28" s="62"/>
      <c r="EF28" s="62"/>
      <c r="EG28" s="62"/>
      <c r="EH28" s="62"/>
      <c r="EI28" s="62"/>
      <c r="EJ28" s="62"/>
      <c r="EK28" s="62"/>
      <c r="EL28" s="62"/>
      <c r="EM28" s="62"/>
      <c r="EN28" s="62"/>
      <c r="EO28" s="62"/>
      <c r="EP28" s="62"/>
      <c r="EQ28" s="62"/>
      <c r="ER28" s="62"/>
      <c r="ES28" s="62"/>
      <c r="ET28" s="62"/>
      <c r="EU28" s="62"/>
      <c r="EV28" s="62"/>
      <c r="EW28" s="62"/>
      <c r="EX28" s="62"/>
      <c r="EY28" s="62"/>
      <c r="EZ28" s="62"/>
      <c r="FA28" s="62"/>
      <c r="FB28" s="62"/>
      <c r="FC28" s="62"/>
      <c r="FD28" s="62"/>
      <c r="FE28" s="62"/>
      <c r="FF28" s="62"/>
      <c r="FG28" s="62"/>
      <c r="FH28" s="62"/>
      <c r="FI28" s="62"/>
      <c r="FJ28" s="67"/>
      <c r="FK28" s="67"/>
      <c r="FL28" s="67"/>
      <c r="FM28" s="67"/>
      <c r="FN28" s="67"/>
      <c r="FO28" s="67"/>
      <c r="FP28" s="67"/>
      <c r="FQ28" s="67"/>
      <c r="FR28" s="62"/>
      <c r="FS28" s="62"/>
      <c r="FT28" s="62"/>
      <c r="FU28" s="62"/>
      <c r="FV28" s="62"/>
      <c r="FW28" s="62"/>
      <c r="FX28" s="62"/>
      <c r="FY28" s="62"/>
      <c r="FZ28" s="62"/>
      <c r="GA28" s="62"/>
      <c r="GB28" s="62"/>
      <c r="GC28" s="62"/>
      <c r="GD28" s="62"/>
      <c r="GE28" s="62"/>
      <c r="GF28" s="63"/>
      <c r="GG28" s="63"/>
      <c r="GH28" s="62"/>
      <c r="GI28" s="62"/>
      <c r="GJ28" s="62"/>
      <c r="GK28" s="62"/>
      <c r="GL28" s="62"/>
      <c r="GM28" s="62"/>
      <c r="GN28" s="62"/>
      <c r="GO28" s="62"/>
      <c r="GP28" s="62"/>
      <c r="GQ28" s="62"/>
      <c r="GR28" s="62"/>
      <c r="GS28" s="62"/>
      <c r="GT28" s="62"/>
      <c r="GU28" s="62"/>
      <c r="GV28" s="62"/>
      <c r="GW28" s="62"/>
      <c r="GX28" s="62"/>
      <c r="GY28" s="62"/>
      <c r="GZ28" s="62"/>
      <c r="HA28" s="62"/>
      <c r="HB28" s="62"/>
      <c r="HC28" s="62"/>
      <c r="HD28" s="62"/>
      <c r="HE28" s="62"/>
      <c r="HF28" s="62"/>
      <c r="HG28" s="68" t="s">
        <v>257</v>
      </c>
      <c r="HH28" s="62" t="s">
        <v>258</v>
      </c>
      <c r="HI28" s="62"/>
      <c r="HJ28" s="62">
        <v>5</v>
      </c>
      <c r="HK28" s="62">
        <v>2021</v>
      </c>
      <c r="HL28" s="62" t="s">
        <v>311</v>
      </c>
      <c r="HM28" s="62">
        <v>2021</v>
      </c>
      <c r="HN28" s="62">
        <v>2021</v>
      </c>
      <c r="HO28" s="62">
        <v>2021</v>
      </c>
      <c r="HP28" s="70">
        <v>1</v>
      </c>
      <c r="HQ28" s="70">
        <v>0</v>
      </c>
      <c r="HR28" s="70">
        <v>0</v>
      </c>
      <c r="HS28" s="70">
        <v>0</v>
      </c>
      <c r="HT28" s="70">
        <v>1</v>
      </c>
      <c r="HU28" s="62" t="s">
        <v>271</v>
      </c>
      <c r="HV28" s="62" t="s">
        <v>263</v>
      </c>
      <c r="HW28" s="62"/>
      <c r="HX28" s="62"/>
    </row>
    <row r="29" spans="1:232" hidden="1" x14ac:dyDescent="0.2">
      <c r="B29" s="60">
        <v>13</v>
      </c>
      <c r="C29" s="60">
        <v>8</v>
      </c>
      <c r="D29" s="61" t="s">
        <v>306</v>
      </c>
      <c r="E29" s="62"/>
      <c r="F29" s="62"/>
      <c r="G29" s="62"/>
      <c r="H29" s="62"/>
      <c r="I29" s="62"/>
      <c r="J29" s="61" t="s">
        <v>307</v>
      </c>
      <c r="K29" s="60" t="s">
        <v>308</v>
      </c>
      <c r="L29" s="62" t="s">
        <v>309</v>
      </c>
      <c r="M29" s="63">
        <v>85204</v>
      </c>
      <c r="N29" s="73" t="s">
        <v>310</v>
      </c>
      <c r="O29" s="73"/>
      <c r="P29" s="73"/>
      <c r="Q29" s="73"/>
      <c r="R29" s="73"/>
      <c r="S29" s="71">
        <v>682033.91</v>
      </c>
      <c r="T29" s="74" t="s">
        <v>254</v>
      </c>
      <c r="U29" s="74">
        <v>85955.83</v>
      </c>
      <c r="V29" s="74">
        <f>SUM(LIST_LOCATIONDETAILS334[[#This Row],[Building]:[BI]])</f>
        <v>767989.74</v>
      </c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0" t="s">
        <v>269</v>
      </c>
      <c r="AQ29" s="62"/>
      <c r="AR29" s="62"/>
      <c r="AS29" s="60" t="s">
        <v>282</v>
      </c>
      <c r="AT29" s="60">
        <v>1981</v>
      </c>
      <c r="AU29" s="62"/>
      <c r="AV29" s="63"/>
      <c r="AW29" s="63"/>
      <c r="AX29" s="62"/>
      <c r="AY29" s="62"/>
      <c r="AZ29" s="60">
        <v>2</v>
      </c>
      <c r="BA29" s="60">
        <v>4722</v>
      </c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2"/>
      <c r="CB29" s="62"/>
      <c r="CC29" s="62"/>
      <c r="CD29" s="62"/>
      <c r="CE29" s="62"/>
      <c r="CF29" s="62"/>
      <c r="CG29" s="62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  <c r="EA29" s="62"/>
      <c r="EB29" s="62"/>
      <c r="EC29" s="62"/>
      <c r="ED29" s="62"/>
      <c r="EE29" s="62"/>
      <c r="EF29" s="62"/>
      <c r="EG29" s="62"/>
      <c r="EH29" s="62"/>
      <c r="EI29" s="62"/>
      <c r="EJ29" s="62"/>
      <c r="EK29" s="62"/>
      <c r="EL29" s="62"/>
      <c r="EM29" s="62"/>
      <c r="EN29" s="62"/>
      <c r="EO29" s="62"/>
      <c r="EP29" s="62"/>
      <c r="EQ29" s="62"/>
      <c r="ER29" s="62"/>
      <c r="ES29" s="62"/>
      <c r="ET29" s="62"/>
      <c r="EU29" s="62"/>
      <c r="EV29" s="62"/>
      <c r="EW29" s="62"/>
      <c r="EX29" s="62"/>
      <c r="EY29" s="62"/>
      <c r="EZ29" s="62"/>
      <c r="FA29" s="62"/>
      <c r="FB29" s="62"/>
      <c r="FC29" s="62"/>
      <c r="FD29" s="62"/>
      <c r="FE29" s="62"/>
      <c r="FF29" s="62"/>
      <c r="FG29" s="62"/>
      <c r="FH29" s="62"/>
      <c r="FI29" s="62"/>
      <c r="FJ29" s="67"/>
      <c r="FK29" s="67"/>
      <c r="FL29" s="67"/>
      <c r="FM29" s="67"/>
      <c r="FN29" s="67"/>
      <c r="FO29" s="67"/>
      <c r="FP29" s="67"/>
      <c r="FQ29" s="67"/>
      <c r="FR29" s="62"/>
      <c r="FS29" s="62"/>
      <c r="FT29" s="62"/>
      <c r="FU29" s="62"/>
      <c r="FV29" s="62"/>
      <c r="FW29" s="62"/>
      <c r="FX29" s="62"/>
      <c r="FY29" s="62"/>
      <c r="FZ29" s="62"/>
      <c r="GA29" s="62"/>
      <c r="GB29" s="62"/>
      <c r="GC29" s="62"/>
      <c r="GD29" s="62"/>
      <c r="GE29" s="62"/>
      <c r="GF29" s="63"/>
      <c r="GG29" s="63"/>
      <c r="GH29" s="62"/>
      <c r="GI29" s="62"/>
      <c r="GJ29" s="62"/>
      <c r="GK29" s="62"/>
      <c r="GL29" s="62"/>
      <c r="GM29" s="62"/>
      <c r="GN29" s="62"/>
      <c r="GO29" s="62"/>
      <c r="GP29" s="62"/>
      <c r="GQ29" s="62"/>
      <c r="GR29" s="62"/>
      <c r="GS29" s="62"/>
      <c r="GT29" s="62"/>
      <c r="GU29" s="62"/>
      <c r="GV29" s="62"/>
      <c r="GW29" s="62"/>
      <c r="GX29" s="62"/>
      <c r="GY29" s="62"/>
      <c r="GZ29" s="62"/>
      <c r="HA29" s="62"/>
      <c r="HB29" s="62"/>
      <c r="HC29" s="62"/>
      <c r="HD29" s="62"/>
      <c r="HE29" s="62"/>
      <c r="HF29" s="62"/>
      <c r="HG29" s="68" t="s">
        <v>257</v>
      </c>
      <c r="HH29" s="62" t="s">
        <v>258</v>
      </c>
      <c r="HI29" s="62"/>
      <c r="HJ29" s="62">
        <v>5</v>
      </c>
      <c r="HK29" s="62">
        <v>2021</v>
      </c>
      <c r="HL29" s="62" t="s">
        <v>311</v>
      </c>
      <c r="HM29" s="62">
        <v>2021</v>
      </c>
      <c r="HN29" s="62">
        <v>2021</v>
      </c>
      <c r="HO29" s="62">
        <v>2021</v>
      </c>
      <c r="HP29" s="70">
        <v>1</v>
      </c>
      <c r="HQ29" s="70">
        <v>0</v>
      </c>
      <c r="HR29" s="70">
        <v>0</v>
      </c>
      <c r="HS29" s="70">
        <v>0</v>
      </c>
      <c r="HT29" s="70">
        <v>1</v>
      </c>
      <c r="HU29" s="62" t="s">
        <v>271</v>
      </c>
      <c r="HV29" s="62" t="s">
        <v>263</v>
      </c>
      <c r="HW29" s="62"/>
      <c r="HX29" s="62"/>
    </row>
    <row r="30" spans="1:232" hidden="1" x14ac:dyDescent="0.2">
      <c r="B30" s="60">
        <v>13</v>
      </c>
      <c r="C30" s="60">
        <v>9</v>
      </c>
      <c r="D30" s="61" t="s">
        <v>306</v>
      </c>
      <c r="E30" s="62"/>
      <c r="F30" s="62"/>
      <c r="G30" s="62"/>
      <c r="H30" s="62"/>
      <c r="I30" s="62"/>
      <c r="J30" s="61" t="s">
        <v>307</v>
      </c>
      <c r="K30" s="60" t="s">
        <v>308</v>
      </c>
      <c r="L30" s="62" t="s">
        <v>309</v>
      </c>
      <c r="M30" s="63">
        <v>85204</v>
      </c>
      <c r="N30" s="73" t="s">
        <v>310</v>
      </c>
      <c r="O30" s="73"/>
      <c r="P30" s="73"/>
      <c r="Q30" s="73"/>
      <c r="R30" s="73"/>
      <c r="S30" s="71">
        <v>682033.91</v>
      </c>
      <c r="T30" s="74" t="s">
        <v>254</v>
      </c>
      <c r="U30" s="74">
        <v>85955.83</v>
      </c>
      <c r="V30" s="74">
        <f>SUM(LIST_LOCATIONDETAILS334[[#This Row],[Building]:[BI]])</f>
        <v>767989.74</v>
      </c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0" t="s">
        <v>269</v>
      </c>
      <c r="AQ30" s="62"/>
      <c r="AR30" s="62"/>
      <c r="AS30" s="60" t="s">
        <v>282</v>
      </c>
      <c r="AT30" s="60">
        <v>1981</v>
      </c>
      <c r="AU30" s="62"/>
      <c r="AV30" s="63"/>
      <c r="AW30" s="63"/>
      <c r="AX30" s="62"/>
      <c r="AY30" s="62"/>
      <c r="AZ30" s="60">
        <v>2</v>
      </c>
      <c r="BA30" s="60">
        <v>4722</v>
      </c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2"/>
      <c r="CB30" s="62"/>
      <c r="CC30" s="62"/>
      <c r="CD30" s="62"/>
      <c r="CE30" s="62"/>
      <c r="CF30" s="62"/>
      <c r="CG30" s="62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  <c r="EA30" s="62"/>
      <c r="EB30" s="62"/>
      <c r="EC30" s="62"/>
      <c r="ED30" s="62"/>
      <c r="EE30" s="62"/>
      <c r="EF30" s="62"/>
      <c r="EG30" s="62"/>
      <c r="EH30" s="62"/>
      <c r="EI30" s="62"/>
      <c r="EJ30" s="62"/>
      <c r="EK30" s="62"/>
      <c r="EL30" s="62"/>
      <c r="EM30" s="62"/>
      <c r="EN30" s="62"/>
      <c r="EO30" s="62"/>
      <c r="EP30" s="62"/>
      <c r="EQ30" s="62"/>
      <c r="ER30" s="62"/>
      <c r="ES30" s="62"/>
      <c r="ET30" s="62"/>
      <c r="EU30" s="62"/>
      <c r="EV30" s="62"/>
      <c r="EW30" s="62"/>
      <c r="EX30" s="62"/>
      <c r="EY30" s="62"/>
      <c r="EZ30" s="62"/>
      <c r="FA30" s="62"/>
      <c r="FB30" s="62"/>
      <c r="FC30" s="62"/>
      <c r="FD30" s="62"/>
      <c r="FE30" s="62"/>
      <c r="FF30" s="62"/>
      <c r="FG30" s="62"/>
      <c r="FH30" s="62"/>
      <c r="FI30" s="62"/>
      <c r="FJ30" s="67"/>
      <c r="FK30" s="67"/>
      <c r="FL30" s="67"/>
      <c r="FM30" s="67"/>
      <c r="FN30" s="67"/>
      <c r="FO30" s="67"/>
      <c r="FP30" s="67"/>
      <c r="FQ30" s="67"/>
      <c r="FR30" s="62"/>
      <c r="FS30" s="62"/>
      <c r="FT30" s="62"/>
      <c r="FU30" s="62"/>
      <c r="FV30" s="62"/>
      <c r="FW30" s="62"/>
      <c r="FX30" s="62"/>
      <c r="FY30" s="62"/>
      <c r="FZ30" s="62"/>
      <c r="GA30" s="62"/>
      <c r="GB30" s="62"/>
      <c r="GC30" s="62"/>
      <c r="GD30" s="62"/>
      <c r="GE30" s="62"/>
      <c r="GF30" s="63"/>
      <c r="GG30" s="63"/>
      <c r="GH30" s="62"/>
      <c r="GI30" s="62"/>
      <c r="GJ30" s="62"/>
      <c r="GK30" s="62"/>
      <c r="GL30" s="62"/>
      <c r="GM30" s="62"/>
      <c r="GN30" s="62"/>
      <c r="GO30" s="62"/>
      <c r="GP30" s="62"/>
      <c r="GQ30" s="62"/>
      <c r="GR30" s="62"/>
      <c r="GS30" s="62"/>
      <c r="GT30" s="62"/>
      <c r="GU30" s="62"/>
      <c r="GV30" s="62"/>
      <c r="GW30" s="62"/>
      <c r="GX30" s="62"/>
      <c r="GY30" s="62"/>
      <c r="GZ30" s="62"/>
      <c r="HA30" s="62"/>
      <c r="HB30" s="62"/>
      <c r="HC30" s="62"/>
      <c r="HD30" s="62"/>
      <c r="HE30" s="62"/>
      <c r="HF30" s="62"/>
      <c r="HG30" s="68" t="s">
        <v>257</v>
      </c>
      <c r="HH30" s="62" t="s">
        <v>258</v>
      </c>
      <c r="HI30" s="62"/>
      <c r="HJ30" s="62">
        <v>5</v>
      </c>
      <c r="HK30" s="62">
        <v>2021</v>
      </c>
      <c r="HL30" s="62" t="s">
        <v>311</v>
      </c>
      <c r="HM30" s="62">
        <v>2021</v>
      </c>
      <c r="HN30" s="62">
        <v>2021</v>
      </c>
      <c r="HO30" s="62">
        <v>2021</v>
      </c>
      <c r="HP30" s="70">
        <v>1</v>
      </c>
      <c r="HQ30" s="70">
        <v>0</v>
      </c>
      <c r="HR30" s="70">
        <v>0</v>
      </c>
      <c r="HS30" s="70">
        <v>0</v>
      </c>
      <c r="HT30" s="70">
        <v>1</v>
      </c>
      <c r="HU30" s="62" t="s">
        <v>271</v>
      </c>
      <c r="HV30" s="62" t="s">
        <v>263</v>
      </c>
      <c r="HW30" s="62"/>
      <c r="HX30" s="62"/>
    </row>
    <row r="31" spans="1:232" hidden="1" x14ac:dyDescent="0.2">
      <c r="B31" s="60">
        <v>13</v>
      </c>
      <c r="C31" s="60">
        <v>10</v>
      </c>
      <c r="D31" s="61" t="s">
        <v>306</v>
      </c>
      <c r="E31" s="62"/>
      <c r="F31" s="62"/>
      <c r="G31" s="62"/>
      <c r="H31" s="62"/>
      <c r="I31" s="62"/>
      <c r="J31" s="61" t="s">
        <v>307</v>
      </c>
      <c r="K31" s="60" t="s">
        <v>308</v>
      </c>
      <c r="L31" s="62" t="s">
        <v>309</v>
      </c>
      <c r="M31" s="63">
        <v>85204</v>
      </c>
      <c r="N31" s="73" t="s">
        <v>310</v>
      </c>
      <c r="O31" s="73"/>
      <c r="P31" s="73"/>
      <c r="Q31" s="73"/>
      <c r="R31" s="73"/>
      <c r="S31" s="71">
        <v>682033.91</v>
      </c>
      <c r="T31" s="74" t="s">
        <v>254</v>
      </c>
      <c r="U31" s="74">
        <v>85955.83</v>
      </c>
      <c r="V31" s="74">
        <f>SUM(LIST_LOCATIONDETAILS334[[#This Row],[Building]:[BI]])</f>
        <v>767989.74</v>
      </c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0" t="s">
        <v>269</v>
      </c>
      <c r="AQ31" s="62"/>
      <c r="AR31" s="62"/>
      <c r="AS31" s="60" t="s">
        <v>282</v>
      </c>
      <c r="AT31" s="60">
        <v>1981</v>
      </c>
      <c r="AU31" s="62"/>
      <c r="AV31" s="63"/>
      <c r="AW31" s="63"/>
      <c r="AX31" s="62"/>
      <c r="AY31" s="62"/>
      <c r="AZ31" s="60">
        <v>2</v>
      </c>
      <c r="BA31" s="60">
        <v>4722</v>
      </c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2"/>
      <c r="CD31" s="62"/>
      <c r="CE31" s="62"/>
      <c r="CF31" s="62"/>
      <c r="CG31" s="62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  <c r="EA31" s="62"/>
      <c r="EB31" s="62"/>
      <c r="EC31" s="62"/>
      <c r="ED31" s="62"/>
      <c r="EE31" s="62"/>
      <c r="EF31" s="62"/>
      <c r="EG31" s="62"/>
      <c r="EH31" s="62"/>
      <c r="EI31" s="62"/>
      <c r="EJ31" s="62"/>
      <c r="EK31" s="62"/>
      <c r="EL31" s="62"/>
      <c r="EM31" s="62"/>
      <c r="EN31" s="62"/>
      <c r="EO31" s="62"/>
      <c r="EP31" s="62"/>
      <c r="EQ31" s="62"/>
      <c r="ER31" s="62"/>
      <c r="ES31" s="62"/>
      <c r="ET31" s="62"/>
      <c r="EU31" s="62"/>
      <c r="EV31" s="62"/>
      <c r="EW31" s="62"/>
      <c r="EX31" s="62"/>
      <c r="EY31" s="62"/>
      <c r="EZ31" s="62"/>
      <c r="FA31" s="62"/>
      <c r="FB31" s="62"/>
      <c r="FC31" s="62"/>
      <c r="FD31" s="62"/>
      <c r="FE31" s="62"/>
      <c r="FF31" s="62"/>
      <c r="FG31" s="62"/>
      <c r="FH31" s="62"/>
      <c r="FI31" s="62"/>
      <c r="FJ31" s="67"/>
      <c r="FK31" s="67"/>
      <c r="FL31" s="67"/>
      <c r="FM31" s="67"/>
      <c r="FN31" s="67"/>
      <c r="FO31" s="67"/>
      <c r="FP31" s="67"/>
      <c r="FQ31" s="67"/>
      <c r="FR31" s="62"/>
      <c r="FS31" s="62"/>
      <c r="FT31" s="62"/>
      <c r="FU31" s="62"/>
      <c r="FV31" s="62"/>
      <c r="FW31" s="62"/>
      <c r="FX31" s="62"/>
      <c r="FY31" s="62"/>
      <c r="FZ31" s="62"/>
      <c r="GA31" s="62"/>
      <c r="GB31" s="62"/>
      <c r="GC31" s="62"/>
      <c r="GD31" s="62"/>
      <c r="GE31" s="62"/>
      <c r="GF31" s="63"/>
      <c r="GG31" s="63"/>
      <c r="GH31" s="62"/>
      <c r="GI31" s="62"/>
      <c r="GJ31" s="62"/>
      <c r="GK31" s="62"/>
      <c r="GL31" s="62"/>
      <c r="GM31" s="62"/>
      <c r="GN31" s="62"/>
      <c r="GO31" s="62"/>
      <c r="GP31" s="62"/>
      <c r="GQ31" s="62"/>
      <c r="GR31" s="62"/>
      <c r="GS31" s="62"/>
      <c r="GT31" s="62"/>
      <c r="GU31" s="62"/>
      <c r="GV31" s="62"/>
      <c r="GW31" s="62"/>
      <c r="GX31" s="62"/>
      <c r="GY31" s="62"/>
      <c r="GZ31" s="62"/>
      <c r="HA31" s="62"/>
      <c r="HB31" s="62"/>
      <c r="HC31" s="62"/>
      <c r="HD31" s="62"/>
      <c r="HE31" s="62"/>
      <c r="HF31" s="62"/>
      <c r="HG31" s="68" t="s">
        <v>257</v>
      </c>
      <c r="HH31" s="62" t="s">
        <v>258</v>
      </c>
      <c r="HI31" s="62"/>
      <c r="HJ31" s="62">
        <v>5</v>
      </c>
      <c r="HK31" s="62">
        <v>2021</v>
      </c>
      <c r="HL31" s="62" t="s">
        <v>311</v>
      </c>
      <c r="HM31" s="62">
        <v>2021</v>
      </c>
      <c r="HN31" s="62">
        <v>2021</v>
      </c>
      <c r="HO31" s="62">
        <v>2021</v>
      </c>
      <c r="HP31" s="70">
        <v>1</v>
      </c>
      <c r="HQ31" s="70">
        <v>0</v>
      </c>
      <c r="HR31" s="70">
        <v>0</v>
      </c>
      <c r="HS31" s="70">
        <v>0</v>
      </c>
      <c r="HT31" s="70">
        <v>1</v>
      </c>
      <c r="HU31" s="62" t="s">
        <v>271</v>
      </c>
      <c r="HV31" s="62" t="s">
        <v>263</v>
      </c>
      <c r="HW31" s="62"/>
      <c r="HX31" s="62"/>
    </row>
    <row r="32" spans="1:232" hidden="1" x14ac:dyDescent="0.2">
      <c r="B32" s="60">
        <v>13</v>
      </c>
      <c r="C32" s="60">
        <v>11</v>
      </c>
      <c r="D32" s="61" t="s">
        <v>306</v>
      </c>
      <c r="E32" s="62"/>
      <c r="F32" s="62"/>
      <c r="G32" s="62"/>
      <c r="H32" s="62"/>
      <c r="I32" s="62"/>
      <c r="J32" s="61" t="s">
        <v>307</v>
      </c>
      <c r="K32" s="60" t="s">
        <v>308</v>
      </c>
      <c r="L32" s="62" t="s">
        <v>309</v>
      </c>
      <c r="M32" s="63">
        <v>85204</v>
      </c>
      <c r="N32" s="73" t="s">
        <v>310</v>
      </c>
      <c r="O32" s="73"/>
      <c r="P32" s="73"/>
      <c r="Q32" s="73"/>
      <c r="R32" s="73"/>
      <c r="S32" s="71">
        <v>682033.91</v>
      </c>
      <c r="T32" s="74" t="s">
        <v>254</v>
      </c>
      <c r="U32" s="74">
        <v>85955.83</v>
      </c>
      <c r="V32" s="74">
        <f>SUM(LIST_LOCATIONDETAILS334[[#This Row],[Building]:[BI]])</f>
        <v>767989.74</v>
      </c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0" t="s">
        <v>269</v>
      </c>
      <c r="AQ32" s="62"/>
      <c r="AR32" s="62"/>
      <c r="AS32" s="60" t="s">
        <v>282</v>
      </c>
      <c r="AT32" s="60">
        <v>1981</v>
      </c>
      <c r="AU32" s="62"/>
      <c r="AV32" s="63"/>
      <c r="AW32" s="63"/>
      <c r="AX32" s="62"/>
      <c r="AY32" s="62"/>
      <c r="AZ32" s="60">
        <v>2</v>
      </c>
      <c r="BA32" s="60">
        <v>4722</v>
      </c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2"/>
      <c r="CB32" s="62"/>
      <c r="CC32" s="62"/>
      <c r="CD32" s="62"/>
      <c r="CE32" s="62"/>
      <c r="CF32" s="62"/>
      <c r="CG32" s="62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  <c r="EA32" s="62"/>
      <c r="EB32" s="62"/>
      <c r="EC32" s="62"/>
      <c r="ED32" s="62"/>
      <c r="EE32" s="62"/>
      <c r="EF32" s="62"/>
      <c r="EG32" s="62"/>
      <c r="EH32" s="62"/>
      <c r="EI32" s="62"/>
      <c r="EJ32" s="62"/>
      <c r="EK32" s="62"/>
      <c r="EL32" s="62"/>
      <c r="EM32" s="62"/>
      <c r="EN32" s="62"/>
      <c r="EO32" s="62"/>
      <c r="EP32" s="62"/>
      <c r="EQ32" s="62"/>
      <c r="ER32" s="62"/>
      <c r="ES32" s="62"/>
      <c r="ET32" s="62"/>
      <c r="EU32" s="62"/>
      <c r="EV32" s="62"/>
      <c r="EW32" s="62"/>
      <c r="EX32" s="62"/>
      <c r="EY32" s="62"/>
      <c r="EZ32" s="62"/>
      <c r="FA32" s="62"/>
      <c r="FB32" s="62"/>
      <c r="FC32" s="62"/>
      <c r="FD32" s="62"/>
      <c r="FE32" s="62"/>
      <c r="FF32" s="62"/>
      <c r="FG32" s="62"/>
      <c r="FH32" s="62"/>
      <c r="FI32" s="62"/>
      <c r="FJ32" s="67"/>
      <c r="FK32" s="67"/>
      <c r="FL32" s="67"/>
      <c r="FM32" s="67"/>
      <c r="FN32" s="67"/>
      <c r="FO32" s="67"/>
      <c r="FP32" s="67"/>
      <c r="FQ32" s="67"/>
      <c r="FR32" s="62"/>
      <c r="FS32" s="62"/>
      <c r="FT32" s="62"/>
      <c r="FU32" s="62"/>
      <c r="FV32" s="62"/>
      <c r="FW32" s="62"/>
      <c r="FX32" s="62"/>
      <c r="FY32" s="62"/>
      <c r="FZ32" s="62"/>
      <c r="GA32" s="62"/>
      <c r="GB32" s="62"/>
      <c r="GC32" s="62"/>
      <c r="GD32" s="62"/>
      <c r="GE32" s="62"/>
      <c r="GF32" s="63"/>
      <c r="GG32" s="63"/>
      <c r="GH32" s="62"/>
      <c r="GI32" s="62"/>
      <c r="GJ32" s="62"/>
      <c r="GK32" s="62"/>
      <c r="GL32" s="62"/>
      <c r="GM32" s="62"/>
      <c r="GN32" s="62"/>
      <c r="GO32" s="62"/>
      <c r="GP32" s="62"/>
      <c r="GQ32" s="62"/>
      <c r="GR32" s="62"/>
      <c r="GS32" s="62"/>
      <c r="GT32" s="62"/>
      <c r="GU32" s="62"/>
      <c r="GV32" s="62"/>
      <c r="GW32" s="62"/>
      <c r="GX32" s="62"/>
      <c r="GY32" s="62"/>
      <c r="GZ32" s="62"/>
      <c r="HA32" s="62"/>
      <c r="HB32" s="62"/>
      <c r="HC32" s="62"/>
      <c r="HD32" s="62"/>
      <c r="HE32" s="62"/>
      <c r="HF32" s="62"/>
      <c r="HG32" s="68" t="s">
        <v>257</v>
      </c>
      <c r="HH32" s="62" t="s">
        <v>258</v>
      </c>
      <c r="HI32" s="62"/>
      <c r="HJ32" s="62">
        <v>5</v>
      </c>
      <c r="HK32" s="62">
        <v>2021</v>
      </c>
      <c r="HL32" s="62" t="s">
        <v>311</v>
      </c>
      <c r="HM32" s="62">
        <v>2021</v>
      </c>
      <c r="HN32" s="62">
        <v>2021</v>
      </c>
      <c r="HO32" s="62">
        <v>2021</v>
      </c>
      <c r="HP32" s="70">
        <v>1</v>
      </c>
      <c r="HQ32" s="70">
        <v>0</v>
      </c>
      <c r="HR32" s="70">
        <v>0</v>
      </c>
      <c r="HS32" s="70">
        <v>0</v>
      </c>
      <c r="HT32" s="70">
        <v>1</v>
      </c>
      <c r="HU32" s="62" t="s">
        <v>271</v>
      </c>
      <c r="HV32" s="62" t="s">
        <v>263</v>
      </c>
      <c r="HW32" s="62"/>
      <c r="HX32" s="62"/>
    </row>
    <row r="33" spans="2:232" hidden="1" x14ac:dyDescent="0.2">
      <c r="B33" s="60">
        <v>13</v>
      </c>
      <c r="C33" s="60">
        <v>12</v>
      </c>
      <c r="D33" s="61" t="s">
        <v>306</v>
      </c>
      <c r="E33" s="62"/>
      <c r="F33" s="62"/>
      <c r="G33" s="62"/>
      <c r="H33" s="62"/>
      <c r="I33" s="62"/>
      <c r="J33" s="61" t="s">
        <v>307</v>
      </c>
      <c r="K33" s="60" t="s">
        <v>308</v>
      </c>
      <c r="L33" s="62" t="s">
        <v>309</v>
      </c>
      <c r="M33" s="63">
        <v>85204</v>
      </c>
      <c r="N33" s="73" t="s">
        <v>310</v>
      </c>
      <c r="O33" s="73"/>
      <c r="P33" s="73"/>
      <c r="Q33" s="73"/>
      <c r="R33" s="73"/>
      <c r="S33" s="71">
        <v>682033.91</v>
      </c>
      <c r="T33" s="74" t="s">
        <v>254</v>
      </c>
      <c r="U33" s="74">
        <v>85955.83</v>
      </c>
      <c r="V33" s="74">
        <f>SUM(LIST_LOCATIONDETAILS334[[#This Row],[Building]:[BI]])</f>
        <v>767989.74</v>
      </c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0" t="s">
        <v>269</v>
      </c>
      <c r="AQ33" s="62"/>
      <c r="AR33" s="62"/>
      <c r="AS33" s="60" t="s">
        <v>282</v>
      </c>
      <c r="AT33" s="60">
        <v>1981</v>
      </c>
      <c r="AU33" s="62"/>
      <c r="AV33" s="63"/>
      <c r="AW33" s="63"/>
      <c r="AX33" s="62"/>
      <c r="AY33" s="62"/>
      <c r="AZ33" s="60">
        <v>2</v>
      </c>
      <c r="BA33" s="60">
        <v>4722</v>
      </c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2"/>
      <c r="CB33" s="62"/>
      <c r="CC33" s="62"/>
      <c r="CD33" s="62"/>
      <c r="CE33" s="62"/>
      <c r="CF33" s="62"/>
      <c r="CG33" s="62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  <c r="EA33" s="62"/>
      <c r="EB33" s="62"/>
      <c r="EC33" s="62"/>
      <c r="ED33" s="62"/>
      <c r="EE33" s="62"/>
      <c r="EF33" s="62"/>
      <c r="EG33" s="62"/>
      <c r="EH33" s="62"/>
      <c r="EI33" s="62"/>
      <c r="EJ33" s="62"/>
      <c r="EK33" s="62"/>
      <c r="EL33" s="62"/>
      <c r="EM33" s="62"/>
      <c r="EN33" s="62"/>
      <c r="EO33" s="62"/>
      <c r="EP33" s="62"/>
      <c r="EQ33" s="62"/>
      <c r="ER33" s="62"/>
      <c r="ES33" s="62"/>
      <c r="ET33" s="62"/>
      <c r="EU33" s="62"/>
      <c r="EV33" s="62"/>
      <c r="EW33" s="62"/>
      <c r="EX33" s="62"/>
      <c r="EY33" s="62"/>
      <c r="EZ33" s="62"/>
      <c r="FA33" s="62"/>
      <c r="FB33" s="62"/>
      <c r="FC33" s="62"/>
      <c r="FD33" s="62"/>
      <c r="FE33" s="62"/>
      <c r="FF33" s="62"/>
      <c r="FG33" s="62"/>
      <c r="FH33" s="62"/>
      <c r="FI33" s="62"/>
      <c r="FJ33" s="67"/>
      <c r="FK33" s="67"/>
      <c r="FL33" s="67"/>
      <c r="FM33" s="67"/>
      <c r="FN33" s="67"/>
      <c r="FO33" s="67"/>
      <c r="FP33" s="67"/>
      <c r="FQ33" s="67"/>
      <c r="FR33" s="62"/>
      <c r="FS33" s="62"/>
      <c r="FT33" s="62"/>
      <c r="FU33" s="62"/>
      <c r="FV33" s="62"/>
      <c r="FW33" s="62"/>
      <c r="FX33" s="62"/>
      <c r="FY33" s="62"/>
      <c r="FZ33" s="62"/>
      <c r="GA33" s="62"/>
      <c r="GB33" s="62"/>
      <c r="GC33" s="62"/>
      <c r="GD33" s="62"/>
      <c r="GE33" s="62"/>
      <c r="GF33" s="63"/>
      <c r="GG33" s="63"/>
      <c r="GH33" s="62"/>
      <c r="GI33" s="62"/>
      <c r="GJ33" s="62"/>
      <c r="GK33" s="62"/>
      <c r="GL33" s="62"/>
      <c r="GM33" s="62"/>
      <c r="GN33" s="62"/>
      <c r="GO33" s="62"/>
      <c r="GP33" s="62"/>
      <c r="GQ33" s="62"/>
      <c r="GR33" s="62"/>
      <c r="GS33" s="62"/>
      <c r="GT33" s="62"/>
      <c r="GU33" s="62"/>
      <c r="GV33" s="62"/>
      <c r="GW33" s="62"/>
      <c r="GX33" s="62"/>
      <c r="GY33" s="62"/>
      <c r="GZ33" s="62"/>
      <c r="HA33" s="62"/>
      <c r="HB33" s="62"/>
      <c r="HC33" s="62"/>
      <c r="HD33" s="62"/>
      <c r="HE33" s="62"/>
      <c r="HF33" s="62"/>
      <c r="HG33" s="68" t="s">
        <v>257</v>
      </c>
      <c r="HH33" s="62" t="s">
        <v>258</v>
      </c>
      <c r="HI33" s="62"/>
      <c r="HJ33" s="62">
        <v>5</v>
      </c>
      <c r="HK33" s="62">
        <v>2021</v>
      </c>
      <c r="HL33" s="62" t="s">
        <v>311</v>
      </c>
      <c r="HM33" s="62">
        <v>2021</v>
      </c>
      <c r="HN33" s="62">
        <v>2021</v>
      </c>
      <c r="HO33" s="62">
        <v>2021</v>
      </c>
      <c r="HP33" s="70">
        <v>1</v>
      </c>
      <c r="HQ33" s="70">
        <v>0</v>
      </c>
      <c r="HR33" s="70">
        <v>0</v>
      </c>
      <c r="HS33" s="70">
        <v>0</v>
      </c>
      <c r="HT33" s="70">
        <v>1</v>
      </c>
      <c r="HU33" s="62" t="s">
        <v>271</v>
      </c>
      <c r="HV33" s="62" t="s">
        <v>263</v>
      </c>
      <c r="HW33" s="62"/>
      <c r="HX33" s="62"/>
    </row>
    <row r="34" spans="2:232" hidden="1" x14ac:dyDescent="0.2">
      <c r="B34" s="60">
        <v>14</v>
      </c>
      <c r="C34" s="60">
        <v>1</v>
      </c>
      <c r="D34" s="61" t="s">
        <v>312</v>
      </c>
      <c r="E34" s="62"/>
      <c r="F34" s="62"/>
      <c r="G34" s="62"/>
      <c r="H34" s="62"/>
      <c r="I34" s="62"/>
      <c r="J34" s="61" t="s">
        <v>313</v>
      </c>
      <c r="K34" s="60" t="s">
        <v>312</v>
      </c>
      <c r="L34" s="62" t="s">
        <v>274</v>
      </c>
      <c r="M34" s="63">
        <v>93550</v>
      </c>
      <c r="N34" s="73" t="s">
        <v>281</v>
      </c>
      <c r="O34" s="73"/>
      <c r="P34" s="73"/>
      <c r="Q34" s="73"/>
      <c r="R34" s="73"/>
      <c r="S34" s="71">
        <v>671507.69</v>
      </c>
      <c r="T34" s="74" t="s">
        <v>254</v>
      </c>
      <c r="U34" s="74">
        <v>110807.69</v>
      </c>
      <c r="V34" s="74">
        <f>SUM(LIST_LOCATIONDETAILS334[[#This Row],[Building]:[BI]])</f>
        <v>782315.37999999989</v>
      </c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0" t="s">
        <v>269</v>
      </c>
      <c r="AQ34" s="62"/>
      <c r="AR34" s="62"/>
      <c r="AS34" s="60" t="s">
        <v>282</v>
      </c>
      <c r="AT34" s="60">
        <v>1971</v>
      </c>
      <c r="AU34" s="62"/>
      <c r="AV34" s="63"/>
      <c r="AW34" s="63"/>
      <c r="AX34" s="62"/>
      <c r="AY34" s="62"/>
      <c r="AZ34" s="60">
        <v>2</v>
      </c>
      <c r="BA34" s="60">
        <v>3856</v>
      </c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2"/>
      <c r="CB34" s="62"/>
      <c r="CC34" s="62"/>
      <c r="CD34" s="62"/>
      <c r="CE34" s="62"/>
      <c r="CF34" s="62"/>
      <c r="CG34" s="62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  <c r="EA34" s="62"/>
      <c r="EB34" s="62"/>
      <c r="EC34" s="62"/>
      <c r="ED34" s="62"/>
      <c r="EE34" s="62"/>
      <c r="EF34" s="62"/>
      <c r="EG34" s="62"/>
      <c r="EH34" s="62"/>
      <c r="EI34" s="62"/>
      <c r="EJ34" s="62"/>
      <c r="EK34" s="62"/>
      <c r="EL34" s="62"/>
      <c r="EM34" s="62"/>
      <c r="EN34" s="62"/>
      <c r="EO34" s="62"/>
      <c r="EP34" s="62"/>
      <c r="EQ34" s="62"/>
      <c r="ER34" s="62"/>
      <c r="ES34" s="62"/>
      <c r="ET34" s="62"/>
      <c r="EU34" s="62"/>
      <c r="EV34" s="62"/>
      <c r="EW34" s="62"/>
      <c r="EX34" s="62"/>
      <c r="EY34" s="62"/>
      <c r="EZ34" s="62"/>
      <c r="FA34" s="62"/>
      <c r="FB34" s="62"/>
      <c r="FC34" s="62"/>
      <c r="FD34" s="62"/>
      <c r="FE34" s="62"/>
      <c r="FF34" s="62"/>
      <c r="FG34" s="62"/>
      <c r="FH34" s="62"/>
      <c r="FI34" s="62"/>
      <c r="FJ34" s="67"/>
      <c r="FK34" s="67"/>
      <c r="FL34" s="67"/>
      <c r="FM34" s="67"/>
      <c r="FN34" s="67"/>
      <c r="FO34" s="67"/>
      <c r="FP34" s="67"/>
      <c r="FQ34" s="67"/>
      <c r="FR34" s="62"/>
      <c r="FS34" s="62"/>
      <c r="FT34" s="62"/>
      <c r="FU34" s="62"/>
      <c r="FV34" s="62"/>
      <c r="FW34" s="62"/>
      <c r="FX34" s="62"/>
      <c r="FY34" s="62"/>
      <c r="FZ34" s="62"/>
      <c r="GA34" s="62"/>
      <c r="GB34" s="62"/>
      <c r="GC34" s="62"/>
      <c r="GD34" s="62"/>
      <c r="GE34" s="62"/>
      <c r="GF34" s="63"/>
      <c r="GG34" s="63"/>
      <c r="GH34" s="62"/>
      <c r="GI34" s="62"/>
      <c r="GJ34" s="62"/>
      <c r="GK34" s="62"/>
      <c r="GL34" s="62"/>
      <c r="GM34" s="62"/>
      <c r="GN34" s="62"/>
      <c r="GO34" s="62"/>
      <c r="GP34" s="62"/>
      <c r="GQ34" s="62"/>
      <c r="GR34" s="62"/>
      <c r="GS34" s="62"/>
      <c r="GT34" s="62"/>
      <c r="GU34" s="62"/>
      <c r="GV34" s="62"/>
      <c r="GW34" s="62"/>
      <c r="GX34" s="62"/>
      <c r="GY34" s="62"/>
      <c r="GZ34" s="62"/>
      <c r="HA34" s="62"/>
      <c r="HB34" s="62"/>
      <c r="HC34" s="62"/>
      <c r="HD34" s="62"/>
      <c r="HE34" s="62"/>
      <c r="HF34" s="62"/>
      <c r="HG34" s="68" t="s">
        <v>257</v>
      </c>
      <c r="HH34" s="62" t="s">
        <v>258</v>
      </c>
      <c r="HI34" s="62"/>
      <c r="HJ34" s="62">
        <v>4</v>
      </c>
      <c r="HK34" s="62">
        <v>2019</v>
      </c>
      <c r="HL34" s="62" t="s">
        <v>301</v>
      </c>
      <c r="HM34" s="62">
        <v>2019</v>
      </c>
      <c r="HN34" s="62" t="s">
        <v>261</v>
      </c>
      <c r="HO34" s="62">
        <v>2019</v>
      </c>
      <c r="HP34" s="70">
        <v>1</v>
      </c>
      <c r="HQ34" s="70">
        <v>0</v>
      </c>
      <c r="HR34" s="70">
        <v>0</v>
      </c>
      <c r="HS34" s="70">
        <v>0</v>
      </c>
      <c r="HT34" s="70">
        <v>0.97</v>
      </c>
      <c r="HU34" s="62" t="s">
        <v>286</v>
      </c>
      <c r="HV34" s="62" t="s">
        <v>263</v>
      </c>
      <c r="HW34" s="62"/>
      <c r="HX34" s="62"/>
    </row>
    <row r="35" spans="2:232" hidden="1" x14ac:dyDescent="0.2">
      <c r="B35" s="60">
        <v>14</v>
      </c>
      <c r="C35" s="60">
        <v>2</v>
      </c>
      <c r="D35" s="61" t="s">
        <v>312</v>
      </c>
      <c r="E35" s="62"/>
      <c r="F35" s="62"/>
      <c r="G35" s="62"/>
      <c r="H35" s="62"/>
      <c r="I35" s="62"/>
      <c r="J35" s="61" t="s">
        <v>313</v>
      </c>
      <c r="K35" s="60" t="s">
        <v>312</v>
      </c>
      <c r="L35" s="62" t="s">
        <v>274</v>
      </c>
      <c r="M35" s="63">
        <v>93550</v>
      </c>
      <c r="N35" s="73" t="s">
        <v>281</v>
      </c>
      <c r="O35" s="73"/>
      <c r="P35" s="73"/>
      <c r="Q35" s="73"/>
      <c r="R35" s="73"/>
      <c r="S35" s="71">
        <v>671507.69</v>
      </c>
      <c r="T35" s="74" t="s">
        <v>254</v>
      </c>
      <c r="U35" s="74">
        <v>110807.69</v>
      </c>
      <c r="V35" s="74">
        <f>SUM(LIST_LOCATIONDETAILS334[[#This Row],[Building]:[BI]])</f>
        <v>782315.37999999989</v>
      </c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0" t="s">
        <v>269</v>
      </c>
      <c r="AQ35" s="62"/>
      <c r="AR35" s="62"/>
      <c r="AS35" s="60" t="s">
        <v>282</v>
      </c>
      <c r="AT35" s="60">
        <v>1971</v>
      </c>
      <c r="AU35" s="62"/>
      <c r="AV35" s="63"/>
      <c r="AW35" s="63"/>
      <c r="AX35" s="62"/>
      <c r="AY35" s="62"/>
      <c r="AZ35" s="60">
        <v>2</v>
      </c>
      <c r="BA35" s="60">
        <v>3856</v>
      </c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2"/>
      <c r="CB35" s="62"/>
      <c r="CC35" s="62"/>
      <c r="CD35" s="62"/>
      <c r="CE35" s="62"/>
      <c r="CF35" s="62"/>
      <c r="CG35" s="62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  <c r="EA35" s="62"/>
      <c r="EB35" s="62"/>
      <c r="EC35" s="62"/>
      <c r="ED35" s="62"/>
      <c r="EE35" s="62"/>
      <c r="EF35" s="62"/>
      <c r="EG35" s="62"/>
      <c r="EH35" s="62"/>
      <c r="EI35" s="62"/>
      <c r="EJ35" s="62"/>
      <c r="EK35" s="62"/>
      <c r="EL35" s="62"/>
      <c r="EM35" s="62"/>
      <c r="EN35" s="62"/>
      <c r="EO35" s="62"/>
      <c r="EP35" s="62"/>
      <c r="EQ35" s="62"/>
      <c r="ER35" s="62"/>
      <c r="ES35" s="62"/>
      <c r="ET35" s="62"/>
      <c r="EU35" s="62"/>
      <c r="EV35" s="62"/>
      <c r="EW35" s="62"/>
      <c r="EX35" s="62"/>
      <c r="EY35" s="62"/>
      <c r="EZ35" s="62"/>
      <c r="FA35" s="62"/>
      <c r="FB35" s="62"/>
      <c r="FC35" s="62"/>
      <c r="FD35" s="62"/>
      <c r="FE35" s="62"/>
      <c r="FF35" s="62"/>
      <c r="FG35" s="62"/>
      <c r="FH35" s="62"/>
      <c r="FI35" s="62"/>
      <c r="FJ35" s="67"/>
      <c r="FK35" s="67"/>
      <c r="FL35" s="67"/>
      <c r="FM35" s="67"/>
      <c r="FN35" s="67"/>
      <c r="FO35" s="67"/>
      <c r="FP35" s="67"/>
      <c r="FQ35" s="67"/>
      <c r="FR35" s="62"/>
      <c r="FS35" s="62"/>
      <c r="FT35" s="62"/>
      <c r="FU35" s="62"/>
      <c r="FV35" s="62"/>
      <c r="FW35" s="62"/>
      <c r="FX35" s="62"/>
      <c r="FY35" s="62"/>
      <c r="FZ35" s="62"/>
      <c r="GA35" s="62"/>
      <c r="GB35" s="62"/>
      <c r="GC35" s="62"/>
      <c r="GD35" s="62"/>
      <c r="GE35" s="62"/>
      <c r="GF35" s="63"/>
      <c r="GG35" s="63"/>
      <c r="GH35" s="62"/>
      <c r="GI35" s="62"/>
      <c r="GJ35" s="62"/>
      <c r="GK35" s="62"/>
      <c r="GL35" s="62"/>
      <c r="GM35" s="62"/>
      <c r="GN35" s="62"/>
      <c r="GO35" s="62"/>
      <c r="GP35" s="62"/>
      <c r="GQ35" s="62"/>
      <c r="GR35" s="62"/>
      <c r="GS35" s="62"/>
      <c r="GT35" s="62"/>
      <c r="GU35" s="62"/>
      <c r="GV35" s="62"/>
      <c r="GW35" s="62"/>
      <c r="GX35" s="62"/>
      <c r="GY35" s="62"/>
      <c r="GZ35" s="62"/>
      <c r="HA35" s="62"/>
      <c r="HB35" s="62"/>
      <c r="HC35" s="62"/>
      <c r="HD35" s="62"/>
      <c r="HE35" s="62"/>
      <c r="HF35" s="62"/>
      <c r="HG35" s="68" t="s">
        <v>257</v>
      </c>
      <c r="HH35" s="62" t="s">
        <v>258</v>
      </c>
      <c r="HI35" s="62"/>
      <c r="HJ35" s="62">
        <v>4</v>
      </c>
      <c r="HK35" s="62">
        <v>2019</v>
      </c>
      <c r="HL35" s="62" t="s">
        <v>301</v>
      </c>
      <c r="HM35" s="62">
        <v>2019</v>
      </c>
      <c r="HN35" s="62" t="s">
        <v>261</v>
      </c>
      <c r="HO35" s="62">
        <v>2019</v>
      </c>
      <c r="HP35" s="70">
        <v>1</v>
      </c>
      <c r="HQ35" s="70">
        <v>0</v>
      </c>
      <c r="HR35" s="70">
        <v>0</v>
      </c>
      <c r="HS35" s="70">
        <v>0</v>
      </c>
      <c r="HT35" s="70">
        <v>0.97</v>
      </c>
      <c r="HU35" s="62" t="s">
        <v>286</v>
      </c>
      <c r="HV35" s="62" t="s">
        <v>263</v>
      </c>
      <c r="HW35" s="62"/>
      <c r="HX35" s="62"/>
    </row>
    <row r="36" spans="2:232" hidden="1" x14ac:dyDescent="0.2">
      <c r="B36" s="60">
        <v>14</v>
      </c>
      <c r="C36" s="60">
        <v>3</v>
      </c>
      <c r="D36" s="61" t="s">
        <v>312</v>
      </c>
      <c r="E36" s="62"/>
      <c r="F36" s="62"/>
      <c r="G36" s="62"/>
      <c r="H36" s="62"/>
      <c r="I36" s="62"/>
      <c r="J36" s="61" t="s">
        <v>313</v>
      </c>
      <c r="K36" s="60" t="s">
        <v>312</v>
      </c>
      <c r="L36" s="62" t="s">
        <v>274</v>
      </c>
      <c r="M36" s="63">
        <v>93550</v>
      </c>
      <c r="N36" s="73" t="s">
        <v>281</v>
      </c>
      <c r="O36" s="73"/>
      <c r="P36" s="73"/>
      <c r="Q36" s="73"/>
      <c r="R36" s="73"/>
      <c r="S36" s="71">
        <v>671507.69</v>
      </c>
      <c r="T36" s="74" t="s">
        <v>254</v>
      </c>
      <c r="U36" s="74">
        <v>110807.69</v>
      </c>
      <c r="V36" s="74">
        <f>SUM(LIST_LOCATIONDETAILS334[[#This Row],[Building]:[BI]])</f>
        <v>782315.37999999989</v>
      </c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0" t="s">
        <v>269</v>
      </c>
      <c r="AQ36" s="62"/>
      <c r="AR36" s="62"/>
      <c r="AS36" s="60" t="s">
        <v>282</v>
      </c>
      <c r="AT36" s="60">
        <v>1971</v>
      </c>
      <c r="AU36" s="62"/>
      <c r="AV36" s="63"/>
      <c r="AW36" s="63"/>
      <c r="AX36" s="62"/>
      <c r="AY36" s="62"/>
      <c r="AZ36" s="60">
        <v>2</v>
      </c>
      <c r="BA36" s="60">
        <v>3856</v>
      </c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2"/>
      <c r="CB36" s="62"/>
      <c r="CC36" s="62"/>
      <c r="CD36" s="62"/>
      <c r="CE36" s="62"/>
      <c r="CF36" s="62"/>
      <c r="CG36" s="62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  <c r="EA36" s="62"/>
      <c r="EB36" s="62"/>
      <c r="EC36" s="62"/>
      <c r="ED36" s="62"/>
      <c r="EE36" s="62"/>
      <c r="EF36" s="62"/>
      <c r="EG36" s="62"/>
      <c r="EH36" s="62"/>
      <c r="EI36" s="62"/>
      <c r="EJ36" s="62"/>
      <c r="EK36" s="62"/>
      <c r="EL36" s="62"/>
      <c r="EM36" s="62"/>
      <c r="EN36" s="62"/>
      <c r="EO36" s="62"/>
      <c r="EP36" s="62"/>
      <c r="EQ36" s="62"/>
      <c r="ER36" s="62"/>
      <c r="ES36" s="62"/>
      <c r="ET36" s="62"/>
      <c r="EU36" s="62"/>
      <c r="EV36" s="62"/>
      <c r="EW36" s="62"/>
      <c r="EX36" s="62"/>
      <c r="EY36" s="62"/>
      <c r="EZ36" s="62"/>
      <c r="FA36" s="62"/>
      <c r="FB36" s="62"/>
      <c r="FC36" s="62"/>
      <c r="FD36" s="62"/>
      <c r="FE36" s="62"/>
      <c r="FF36" s="62"/>
      <c r="FG36" s="62"/>
      <c r="FH36" s="62"/>
      <c r="FI36" s="62"/>
      <c r="FJ36" s="67"/>
      <c r="FK36" s="67"/>
      <c r="FL36" s="67"/>
      <c r="FM36" s="67"/>
      <c r="FN36" s="67"/>
      <c r="FO36" s="67"/>
      <c r="FP36" s="67"/>
      <c r="FQ36" s="67"/>
      <c r="FR36" s="62"/>
      <c r="FS36" s="62"/>
      <c r="FT36" s="62"/>
      <c r="FU36" s="62"/>
      <c r="FV36" s="62"/>
      <c r="FW36" s="62"/>
      <c r="FX36" s="62"/>
      <c r="FY36" s="62"/>
      <c r="FZ36" s="62"/>
      <c r="GA36" s="62"/>
      <c r="GB36" s="62"/>
      <c r="GC36" s="62"/>
      <c r="GD36" s="62"/>
      <c r="GE36" s="62"/>
      <c r="GF36" s="63"/>
      <c r="GG36" s="63"/>
      <c r="GH36" s="62"/>
      <c r="GI36" s="62"/>
      <c r="GJ36" s="62"/>
      <c r="GK36" s="62"/>
      <c r="GL36" s="62"/>
      <c r="GM36" s="62"/>
      <c r="GN36" s="62"/>
      <c r="GO36" s="62"/>
      <c r="GP36" s="62"/>
      <c r="GQ36" s="62"/>
      <c r="GR36" s="62"/>
      <c r="GS36" s="62"/>
      <c r="GT36" s="62"/>
      <c r="GU36" s="62"/>
      <c r="GV36" s="62"/>
      <c r="GW36" s="62"/>
      <c r="GX36" s="62"/>
      <c r="GY36" s="62"/>
      <c r="GZ36" s="62"/>
      <c r="HA36" s="62"/>
      <c r="HB36" s="62"/>
      <c r="HC36" s="62"/>
      <c r="HD36" s="62"/>
      <c r="HE36" s="62"/>
      <c r="HF36" s="62"/>
      <c r="HG36" s="68" t="s">
        <v>257</v>
      </c>
      <c r="HH36" s="62" t="s">
        <v>258</v>
      </c>
      <c r="HI36" s="62"/>
      <c r="HJ36" s="62">
        <v>4</v>
      </c>
      <c r="HK36" s="62">
        <v>2019</v>
      </c>
      <c r="HL36" s="62" t="s">
        <v>301</v>
      </c>
      <c r="HM36" s="62">
        <v>2019</v>
      </c>
      <c r="HN36" s="62" t="s">
        <v>261</v>
      </c>
      <c r="HO36" s="62">
        <v>2019</v>
      </c>
      <c r="HP36" s="70">
        <v>1</v>
      </c>
      <c r="HQ36" s="70">
        <v>0</v>
      </c>
      <c r="HR36" s="70">
        <v>0</v>
      </c>
      <c r="HS36" s="70">
        <v>0</v>
      </c>
      <c r="HT36" s="70">
        <v>0.97</v>
      </c>
      <c r="HU36" s="62" t="s">
        <v>286</v>
      </c>
      <c r="HV36" s="62" t="s">
        <v>263</v>
      </c>
      <c r="HW36" s="62"/>
      <c r="HX36" s="62"/>
    </row>
    <row r="37" spans="2:232" hidden="1" x14ac:dyDescent="0.2">
      <c r="B37" s="60">
        <v>14</v>
      </c>
      <c r="C37" s="60">
        <v>4</v>
      </c>
      <c r="D37" s="61" t="s">
        <v>312</v>
      </c>
      <c r="E37" s="62"/>
      <c r="F37" s="62"/>
      <c r="G37" s="62"/>
      <c r="H37" s="62"/>
      <c r="I37" s="62"/>
      <c r="J37" s="61" t="s">
        <v>313</v>
      </c>
      <c r="K37" s="60" t="s">
        <v>312</v>
      </c>
      <c r="L37" s="62" t="s">
        <v>274</v>
      </c>
      <c r="M37" s="63">
        <v>93550</v>
      </c>
      <c r="N37" s="73" t="s">
        <v>281</v>
      </c>
      <c r="O37" s="73"/>
      <c r="P37" s="73"/>
      <c r="Q37" s="73"/>
      <c r="R37" s="73"/>
      <c r="S37" s="71">
        <v>671507.69</v>
      </c>
      <c r="T37" s="74" t="s">
        <v>254</v>
      </c>
      <c r="U37" s="74">
        <v>110807.69</v>
      </c>
      <c r="V37" s="74">
        <f>SUM(LIST_LOCATIONDETAILS334[[#This Row],[Building]:[BI]])</f>
        <v>782315.37999999989</v>
      </c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0" t="s">
        <v>269</v>
      </c>
      <c r="AQ37" s="62"/>
      <c r="AR37" s="62"/>
      <c r="AS37" s="60" t="s">
        <v>282</v>
      </c>
      <c r="AT37" s="60">
        <v>1971</v>
      </c>
      <c r="AU37" s="62"/>
      <c r="AV37" s="63"/>
      <c r="AW37" s="63"/>
      <c r="AX37" s="62"/>
      <c r="AY37" s="62"/>
      <c r="AZ37" s="60">
        <v>2</v>
      </c>
      <c r="BA37" s="60">
        <v>3856</v>
      </c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2"/>
      <c r="CB37" s="62"/>
      <c r="CC37" s="62"/>
      <c r="CD37" s="62"/>
      <c r="CE37" s="62"/>
      <c r="CF37" s="62"/>
      <c r="CG37" s="62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  <c r="EA37" s="62"/>
      <c r="EB37" s="62"/>
      <c r="EC37" s="62"/>
      <c r="ED37" s="62"/>
      <c r="EE37" s="62"/>
      <c r="EF37" s="62"/>
      <c r="EG37" s="62"/>
      <c r="EH37" s="62"/>
      <c r="EI37" s="62"/>
      <c r="EJ37" s="62"/>
      <c r="EK37" s="62"/>
      <c r="EL37" s="62"/>
      <c r="EM37" s="62"/>
      <c r="EN37" s="62"/>
      <c r="EO37" s="62"/>
      <c r="EP37" s="62"/>
      <c r="EQ37" s="62"/>
      <c r="ER37" s="62"/>
      <c r="ES37" s="62"/>
      <c r="ET37" s="62"/>
      <c r="EU37" s="62"/>
      <c r="EV37" s="62"/>
      <c r="EW37" s="62"/>
      <c r="EX37" s="62"/>
      <c r="EY37" s="62"/>
      <c r="EZ37" s="62"/>
      <c r="FA37" s="62"/>
      <c r="FB37" s="62"/>
      <c r="FC37" s="62"/>
      <c r="FD37" s="62"/>
      <c r="FE37" s="62"/>
      <c r="FF37" s="62"/>
      <c r="FG37" s="62"/>
      <c r="FH37" s="62"/>
      <c r="FI37" s="62"/>
      <c r="FJ37" s="67"/>
      <c r="FK37" s="67"/>
      <c r="FL37" s="67"/>
      <c r="FM37" s="67"/>
      <c r="FN37" s="67"/>
      <c r="FO37" s="67"/>
      <c r="FP37" s="67"/>
      <c r="FQ37" s="67"/>
      <c r="FR37" s="62"/>
      <c r="FS37" s="62"/>
      <c r="FT37" s="62"/>
      <c r="FU37" s="62"/>
      <c r="FV37" s="62"/>
      <c r="FW37" s="62"/>
      <c r="FX37" s="62"/>
      <c r="FY37" s="62"/>
      <c r="FZ37" s="62"/>
      <c r="GA37" s="62"/>
      <c r="GB37" s="62"/>
      <c r="GC37" s="62"/>
      <c r="GD37" s="62"/>
      <c r="GE37" s="62"/>
      <c r="GF37" s="63"/>
      <c r="GG37" s="63"/>
      <c r="GH37" s="62"/>
      <c r="GI37" s="62"/>
      <c r="GJ37" s="62"/>
      <c r="GK37" s="62"/>
      <c r="GL37" s="62"/>
      <c r="GM37" s="62"/>
      <c r="GN37" s="62"/>
      <c r="GO37" s="62"/>
      <c r="GP37" s="62"/>
      <c r="GQ37" s="62"/>
      <c r="GR37" s="62"/>
      <c r="GS37" s="62"/>
      <c r="GT37" s="62"/>
      <c r="GU37" s="62"/>
      <c r="GV37" s="62"/>
      <c r="GW37" s="62"/>
      <c r="GX37" s="62"/>
      <c r="GY37" s="62"/>
      <c r="GZ37" s="62"/>
      <c r="HA37" s="62"/>
      <c r="HB37" s="62"/>
      <c r="HC37" s="62"/>
      <c r="HD37" s="62"/>
      <c r="HE37" s="62"/>
      <c r="HF37" s="62"/>
      <c r="HG37" s="68" t="s">
        <v>257</v>
      </c>
      <c r="HH37" s="62" t="s">
        <v>258</v>
      </c>
      <c r="HI37" s="62"/>
      <c r="HJ37" s="62">
        <v>4</v>
      </c>
      <c r="HK37" s="62">
        <v>2019</v>
      </c>
      <c r="HL37" s="62" t="s">
        <v>301</v>
      </c>
      <c r="HM37" s="62">
        <v>2019</v>
      </c>
      <c r="HN37" s="62" t="s">
        <v>261</v>
      </c>
      <c r="HO37" s="62">
        <v>2019</v>
      </c>
      <c r="HP37" s="70">
        <v>1</v>
      </c>
      <c r="HQ37" s="70">
        <v>0</v>
      </c>
      <c r="HR37" s="70">
        <v>0</v>
      </c>
      <c r="HS37" s="70">
        <v>0</v>
      </c>
      <c r="HT37" s="70">
        <v>0.97</v>
      </c>
      <c r="HU37" s="62" t="s">
        <v>286</v>
      </c>
      <c r="HV37" s="62" t="s">
        <v>263</v>
      </c>
      <c r="HW37" s="62"/>
      <c r="HX37" s="62"/>
    </row>
    <row r="38" spans="2:232" hidden="1" x14ac:dyDescent="0.2">
      <c r="B38" s="60">
        <v>14</v>
      </c>
      <c r="C38" s="60">
        <v>5</v>
      </c>
      <c r="D38" s="61" t="s">
        <v>312</v>
      </c>
      <c r="E38" s="62"/>
      <c r="F38" s="62"/>
      <c r="G38" s="62"/>
      <c r="H38" s="62"/>
      <c r="I38" s="62"/>
      <c r="J38" s="61" t="s">
        <v>313</v>
      </c>
      <c r="K38" s="60" t="s">
        <v>312</v>
      </c>
      <c r="L38" s="62" t="s">
        <v>274</v>
      </c>
      <c r="M38" s="63">
        <v>93550</v>
      </c>
      <c r="N38" s="73" t="s">
        <v>281</v>
      </c>
      <c r="O38" s="73"/>
      <c r="P38" s="73"/>
      <c r="Q38" s="73"/>
      <c r="R38" s="73"/>
      <c r="S38" s="71">
        <v>671507.69</v>
      </c>
      <c r="T38" s="74" t="s">
        <v>254</v>
      </c>
      <c r="U38" s="74">
        <v>110807.69</v>
      </c>
      <c r="V38" s="74">
        <f>SUM(LIST_LOCATIONDETAILS334[[#This Row],[Building]:[BI]])</f>
        <v>782315.37999999989</v>
      </c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0" t="s">
        <v>269</v>
      </c>
      <c r="AQ38" s="62"/>
      <c r="AR38" s="62"/>
      <c r="AS38" s="60" t="s">
        <v>282</v>
      </c>
      <c r="AT38" s="60">
        <v>1971</v>
      </c>
      <c r="AU38" s="62"/>
      <c r="AV38" s="63"/>
      <c r="AW38" s="63"/>
      <c r="AX38" s="62"/>
      <c r="AY38" s="62"/>
      <c r="AZ38" s="60">
        <v>2</v>
      </c>
      <c r="BA38" s="60">
        <v>3856</v>
      </c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2"/>
      <c r="CB38" s="62"/>
      <c r="CC38" s="62"/>
      <c r="CD38" s="62"/>
      <c r="CE38" s="62"/>
      <c r="CF38" s="62"/>
      <c r="CG38" s="62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  <c r="EA38" s="62"/>
      <c r="EB38" s="62"/>
      <c r="EC38" s="62"/>
      <c r="ED38" s="62"/>
      <c r="EE38" s="62"/>
      <c r="EF38" s="62"/>
      <c r="EG38" s="62"/>
      <c r="EH38" s="62"/>
      <c r="EI38" s="62"/>
      <c r="EJ38" s="62"/>
      <c r="EK38" s="62"/>
      <c r="EL38" s="62"/>
      <c r="EM38" s="62"/>
      <c r="EN38" s="62"/>
      <c r="EO38" s="62"/>
      <c r="EP38" s="62"/>
      <c r="EQ38" s="62"/>
      <c r="ER38" s="62"/>
      <c r="ES38" s="62"/>
      <c r="ET38" s="62"/>
      <c r="EU38" s="62"/>
      <c r="EV38" s="62"/>
      <c r="EW38" s="62"/>
      <c r="EX38" s="62"/>
      <c r="EY38" s="62"/>
      <c r="EZ38" s="62"/>
      <c r="FA38" s="62"/>
      <c r="FB38" s="62"/>
      <c r="FC38" s="62"/>
      <c r="FD38" s="62"/>
      <c r="FE38" s="62"/>
      <c r="FF38" s="62"/>
      <c r="FG38" s="62"/>
      <c r="FH38" s="62"/>
      <c r="FI38" s="62"/>
      <c r="FJ38" s="67"/>
      <c r="FK38" s="67"/>
      <c r="FL38" s="67"/>
      <c r="FM38" s="67"/>
      <c r="FN38" s="67"/>
      <c r="FO38" s="67"/>
      <c r="FP38" s="67"/>
      <c r="FQ38" s="67"/>
      <c r="FR38" s="62"/>
      <c r="FS38" s="62"/>
      <c r="FT38" s="62"/>
      <c r="FU38" s="62"/>
      <c r="FV38" s="62"/>
      <c r="FW38" s="62"/>
      <c r="FX38" s="62"/>
      <c r="FY38" s="62"/>
      <c r="FZ38" s="62"/>
      <c r="GA38" s="62"/>
      <c r="GB38" s="62"/>
      <c r="GC38" s="62"/>
      <c r="GD38" s="62"/>
      <c r="GE38" s="62"/>
      <c r="GF38" s="63"/>
      <c r="GG38" s="63"/>
      <c r="GH38" s="62"/>
      <c r="GI38" s="62"/>
      <c r="GJ38" s="62"/>
      <c r="GK38" s="62"/>
      <c r="GL38" s="62"/>
      <c r="GM38" s="62"/>
      <c r="GN38" s="62"/>
      <c r="GO38" s="62"/>
      <c r="GP38" s="62"/>
      <c r="GQ38" s="62"/>
      <c r="GR38" s="62"/>
      <c r="GS38" s="62"/>
      <c r="GT38" s="62"/>
      <c r="GU38" s="62"/>
      <c r="GV38" s="62"/>
      <c r="GW38" s="62"/>
      <c r="GX38" s="62"/>
      <c r="GY38" s="62"/>
      <c r="GZ38" s="62"/>
      <c r="HA38" s="62"/>
      <c r="HB38" s="62"/>
      <c r="HC38" s="62"/>
      <c r="HD38" s="62"/>
      <c r="HE38" s="62"/>
      <c r="HF38" s="62"/>
      <c r="HG38" s="68" t="s">
        <v>257</v>
      </c>
      <c r="HH38" s="62" t="s">
        <v>258</v>
      </c>
      <c r="HI38" s="62"/>
      <c r="HJ38" s="62">
        <v>4</v>
      </c>
      <c r="HK38" s="62">
        <v>2019</v>
      </c>
      <c r="HL38" s="62" t="s">
        <v>301</v>
      </c>
      <c r="HM38" s="62">
        <v>2019</v>
      </c>
      <c r="HN38" s="62" t="s">
        <v>261</v>
      </c>
      <c r="HO38" s="62">
        <v>2019</v>
      </c>
      <c r="HP38" s="70">
        <v>1</v>
      </c>
      <c r="HQ38" s="70">
        <v>0</v>
      </c>
      <c r="HR38" s="70">
        <v>0</v>
      </c>
      <c r="HS38" s="70">
        <v>0</v>
      </c>
      <c r="HT38" s="70">
        <v>0.97</v>
      </c>
      <c r="HU38" s="62" t="s">
        <v>286</v>
      </c>
      <c r="HV38" s="62" t="s">
        <v>263</v>
      </c>
      <c r="HW38" s="62"/>
      <c r="HX38" s="62"/>
    </row>
    <row r="39" spans="2:232" hidden="1" x14ac:dyDescent="0.2">
      <c r="B39" s="60">
        <v>14</v>
      </c>
      <c r="C39" s="60">
        <v>6</v>
      </c>
      <c r="D39" s="61" t="s">
        <v>312</v>
      </c>
      <c r="E39" s="62"/>
      <c r="F39" s="62"/>
      <c r="G39" s="62"/>
      <c r="H39" s="62"/>
      <c r="I39" s="62"/>
      <c r="J39" s="61" t="s">
        <v>313</v>
      </c>
      <c r="K39" s="60" t="s">
        <v>312</v>
      </c>
      <c r="L39" s="62" t="s">
        <v>274</v>
      </c>
      <c r="M39" s="63">
        <v>93550</v>
      </c>
      <c r="N39" s="73" t="s">
        <v>281</v>
      </c>
      <c r="O39" s="73"/>
      <c r="P39" s="73"/>
      <c r="Q39" s="73"/>
      <c r="R39" s="73"/>
      <c r="S39" s="71">
        <v>671507.69</v>
      </c>
      <c r="T39" s="74" t="s">
        <v>254</v>
      </c>
      <c r="U39" s="74">
        <v>110807.69</v>
      </c>
      <c r="V39" s="74">
        <f>SUM(LIST_LOCATIONDETAILS334[[#This Row],[Building]:[BI]])</f>
        <v>782315.37999999989</v>
      </c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0" t="s">
        <v>269</v>
      </c>
      <c r="AQ39" s="62"/>
      <c r="AR39" s="62"/>
      <c r="AS39" s="60" t="s">
        <v>282</v>
      </c>
      <c r="AT39" s="60">
        <v>1971</v>
      </c>
      <c r="AU39" s="62"/>
      <c r="AV39" s="63"/>
      <c r="AW39" s="63"/>
      <c r="AX39" s="62"/>
      <c r="AY39" s="62"/>
      <c r="AZ39" s="60">
        <v>2</v>
      </c>
      <c r="BA39" s="60">
        <v>3856</v>
      </c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  <c r="EA39" s="62"/>
      <c r="EB39" s="62"/>
      <c r="EC39" s="62"/>
      <c r="ED39" s="62"/>
      <c r="EE39" s="62"/>
      <c r="EF39" s="62"/>
      <c r="EG39" s="62"/>
      <c r="EH39" s="62"/>
      <c r="EI39" s="62"/>
      <c r="EJ39" s="62"/>
      <c r="EK39" s="62"/>
      <c r="EL39" s="62"/>
      <c r="EM39" s="62"/>
      <c r="EN39" s="62"/>
      <c r="EO39" s="62"/>
      <c r="EP39" s="62"/>
      <c r="EQ39" s="62"/>
      <c r="ER39" s="62"/>
      <c r="ES39" s="62"/>
      <c r="ET39" s="62"/>
      <c r="EU39" s="62"/>
      <c r="EV39" s="62"/>
      <c r="EW39" s="62"/>
      <c r="EX39" s="62"/>
      <c r="EY39" s="62"/>
      <c r="EZ39" s="62"/>
      <c r="FA39" s="62"/>
      <c r="FB39" s="62"/>
      <c r="FC39" s="62"/>
      <c r="FD39" s="62"/>
      <c r="FE39" s="62"/>
      <c r="FF39" s="62"/>
      <c r="FG39" s="62"/>
      <c r="FH39" s="62"/>
      <c r="FI39" s="62"/>
      <c r="FJ39" s="67"/>
      <c r="FK39" s="67"/>
      <c r="FL39" s="67"/>
      <c r="FM39" s="67"/>
      <c r="FN39" s="67"/>
      <c r="FO39" s="67"/>
      <c r="FP39" s="67"/>
      <c r="FQ39" s="67"/>
      <c r="FR39" s="62"/>
      <c r="FS39" s="62"/>
      <c r="FT39" s="62"/>
      <c r="FU39" s="62"/>
      <c r="FV39" s="62"/>
      <c r="FW39" s="62"/>
      <c r="FX39" s="62"/>
      <c r="FY39" s="62"/>
      <c r="FZ39" s="62"/>
      <c r="GA39" s="62"/>
      <c r="GB39" s="62"/>
      <c r="GC39" s="62"/>
      <c r="GD39" s="62"/>
      <c r="GE39" s="62"/>
      <c r="GF39" s="63"/>
      <c r="GG39" s="63"/>
      <c r="GH39" s="62"/>
      <c r="GI39" s="62"/>
      <c r="GJ39" s="62"/>
      <c r="GK39" s="62"/>
      <c r="GL39" s="62"/>
      <c r="GM39" s="62"/>
      <c r="GN39" s="62"/>
      <c r="GO39" s="62"/>
      <c r="GP39" s="62"/>
      <c r="GQ39" s="62"/>
      <c r="GR39" s="62"/>
      <c r="GS39" s="62"/>
      <c r="GT39" s="62"/>
      <c r="GU39" s="62"/>
      <c r="GV39" s="62"/>
      <c r="GW39" s="62"/>
      <c r="GX39" s="62"/>
      <c r="GY39" s="62"/>
      <c r="GZ39" s="62"/>
      <c r="HA39" s="62"/>
      <c r="HB39" s="62"/>
      <c r="HC39" s="62"/>
      <c r="HD39" s="62"/>
      <c r="HE39" s="62"/>
      <c r="HF39" s="62"/>
      <c r="HG39" s="68" t="s">
        <v>257</v>
      </c>
      <c r="HH39" s="62" t="s">
        <v>258</v>
      </c>
      <c r="HI39" s="62"/>
      <c r="HJ39" s="62">
        <v>4</v>
      </c>
      <c r="HK39" s="62">
        <v>2019</v>
      </c>
      <c r="HL39" s="62" t="s">
        <v>301</v>
      </c>
      <c r="HM39" s="62">
        <v>2019</v>
      </c>
      <c r="HN39" s="62" t="s">
        <v>261</v>
      </c>
      <c r="HO39" s="62">
        <v>2019</v>
      </c>
      <c r="HP39" s="70">
        <v>1</v>
      </c>
      <c r="HQ39" s="70">
        <v>0</v>
      </c>
      <c r="HR39" s="70">
        <v>0</v>
      </c>
      <c r="HS39" s="70">
        <v>0</v>
      </c>
      <c r="HT39" s="70">
        <v>0.97</v>
      </c>
      <c r="HU39" s="62" t="s">
        <v>286</v>
      </c>
      <c r="HV39" s="62" t="s">
        <v>263</v>
      </c>
      <c r="HW39" s="62"/>
      <c r="HX39" s="62"/>
    </row>
    <row r="40" spans="2:232" hidden="1" x14ac:dyDescent="0.2">
      <c r="B40" s="60">
        <v>14</v>
      </c>
      <c r="C40" s="60">
        <v>7</v>
      </c>
      <c r="D40" s="61" t="s">
        <v>312</v>
      </c>
      <c r="E40" s="62"/>
      <c r="F40" s="62"/>
      <c r="G40" s="62"/>
      <c r="H40" s="62"/>
      <c r="I40" s="62"/>
      <c r="J40" s="61" t="s">
        <v>313</v>
      </c>
      <c r="K40" s="60" t="s">
        <v>312</v>
      </c>
      <c r="L40" s="62" t="s">
        <v>274</v>
      </c>
      <c r="M40" s="63">
        <v>93550</v>
      </c>
      <c r="N40" s="73" t="s">
        <v>281</v>
      </c>
      <c r="O40" s="73"/>
      <c r="P40" s="73"/>
      <c r="Q40" s="73"/>
      <c r="R40" s="73"/>
      <c r="S40" s="71">
        <v>671507.69</v>
      </c>
      <c r="T40" s="74" t="s">
        <v>254</v>
      </c>
      <c r="U40" s="74">
        <v>110807.69</v>
      </c>
      <c r="V40" s="74">
        <f>SUM(LIST_LOCATIONDETAILS334[[#This Row],[Building]:[BI]])</f>
        <v>782315.37999999989</v>
      </c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0" t="s">
        <v>269</v>
      </c>
      <c r="AQ40" s="62"/>
      <c r="AR40" s="62"/>
      <c r="AS40" s="60" t="s">
        <v>282</v>
      </c>
      <c r="AT40" s="60">
        <v>1971</v>
      </c>
      <c r="AU40" s="62"/>
      <c r="AV40" s="63"/>
      <c r="AW40" s="63"/>
      <c r="AX40" s="62"/>
      <c r="AY40" s="62"/>
      <c r="AZ40" s="60">
        <v>2</v>
      </c>
      <c r="BA40" s="60">
        <v>3856</v>
      </c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2"/>
      <c r="CB40" s="62"/>
      <c r="CC40" s="62"/>
      <c r="CD40" s="62"/>
      <c r="CE40" s="62"/>
      <c r="CF40" s="62"/>
      <c r="CG40" s="62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  <c r="EA40" s="62"/>
      <c r="EB40" s="62"/>
      <c r="EC40" s="62"/>
      <c r="ED40" s="62"/>
      <c r="EE40" s="62"/>
      <c r="EF40" s="62"/>
      <c r="EG40" s="62"/>
      <c r="EH40" s="62"/>
      <c r="EI40" s="62"/>
      <c r="EJ40" s="62"/>
      <c r="EK40" s="62"/>
      <c r="EL40" s="62"/>
      <c r="EM40" s="62"/>
      <c r="EN40" s="62"/>
      <c r="EO40" s="62"/>
      <c r="EP40" s="62"/>
      <c r="EQ40" s="62"/>
      <c r="ER40" s="62"/>
      <c r="ES40" s="62"/>
      <c r="ET40" s="62"/>
      <c r="EU40" s="62"/>
      <c r="EV40" s="62"/>
      <c r="EW40" s="62"/>
      <c r="EX40" s="62"/>
      <c r="EY40" s="62"/>
      <c r="EZ40" s="62"/>
      <c r="FA40" s="62"/>
      <c r="FB40" s="62"/>
      <c r="FC40" s="62"/>
      <c r="FD40" s="62"/>
      <c r="FE40" s="62"/>
      <c r="FF40" s="62"/>
      <c r="FG40" s="62"/>
      <c r="FH40" s="62"/>
      <c r="FI40" s="62"/>
      <c r="FJ40" s="67"/>
      <c r="FK40" s="67"/>
      <c r="FL40" s="67"/>
      <c r="FM40" s="67"/>
      <c r="FN40" s="67"/>
      <c r="FO40" s="67"/>
      <c r="FP40" s="67"/>
      <c r="FQ40" s="67"/>
      <c r="FR40" s="62"/>
      <c r="FS40" s="62"/>
      <c r="FT40" s="62"/>
      <c r="FU40" s="62"/>
      <c r="FV40" s="62"/>
      <c r="FW40" s="62"/>
      <c r="FX40" s="62"/>
      <c r="FY40" s="62"/>
      <c r="FZ40" s="62"/>
      <c r="GA40" s="62"/>
      <c r="GB40" s="62"/>
      <c r="GC40" s="62"/>
      <c r="GD40" s="62"/>
      <c r="GE40" s="62"/>
      <c r="GF40" s="63"/>
      <c r="GG40" s="63"/>
      <c r="GH40" s="62"/>
      <c r="GI40" s="62"/>
      <c r="GJ40" s="62"/>
      <c r="GK40" s="62"/>
      <c r="GL40" s="62"/>
      <c r="GM40" s="62"/>
      <c r="GN40" s="62"/>
      <c r="GO40" s="62"/>
      <c r="GP40" s="62"/>
      <c r="GQ40" s="62"/>
      <c r="GR40" s="62"/>
      <c r="GS40" s="62"/>
      <c r="GT40" s="62"/>
      <c r="GU40" s="62"/>
      <c r="GV40" s="62"/>
      <c r="GW40" s="62"/>
      <c r="GX40" s="62"/>
      <c r="GY40" s="62"/>
      <c r="GZ40" s="62"/>
      <c r="HA40" s="62"/>
      <c r="HB40" s="62"/>
      <c r="HC40" s="62"/>
      <c r="HD40" s="62"/>
      <c r="HE40" s="62"/>
      <c r="HF40" s="62"/>
      <c r="HG40" s="68" t="s">
        <v>257</v>
      </c>
      <c r="HH40" s="62" t="s">
        <v>258</v>
      </c>
      <c r="HI40" s="62"/>
      <c r="HJ40" s="62">
        <v>4</v>
      </c>
      <c r="HK40" s="62">
        <v>2019</v>
      </c>
      <c r="HL40" s="62" t="s">
        <v>301</v>
      </c>
      <c r="HM40" s="62">
        <v>2019</v>
      </c>
      <c r="HN40" s="62" t="s">
        <v>261</v>
      </c>
      <c r="HO40" s="62">
        <v>2019</v>
      </c>
      <c r="HP40" s="70">
        <v>1</v>
      </c>
      <c r="HQ40" s="70">
        <v>0</v>
      </c>
      <c r="HR40" s="70">
        <v>0</v>
      </c>
      <c r="HS40" s="70">
        <v>0</v>
      </c>
      <c r="HT40" s="70">
        <v>0.97</v>
      </c>
      <c r="HU40" s="62" t="s">
        <v>286</v>
      </c>
      <c r="HV40" s="62" t="s">
        <v>263</v>
      </c>
      <c r="HW40" s="62"/>
      <c r="HX40" s="62"/>
    </row>
    <row r="41" spans="2:232" hidden="1" x14ac:dyDescent="0.2">
      <c r="B41" s="60">
        <v>14</v>
      </c>
      <c r="C41" s="60">
        <v>8</v>
      </c>
      <c r="D41" s="61" t="s">
        <v>312</v>
      </c>
      <c r="E41" s="62"/>
      <c r="F41" s="62"/>
      <c r="G41" s="62"/>
      <c r="H41" s="62"/>
      <c r="I41" s="62"/>
      <c r="J41" s="61" t="s">
        <v>313</v>
      </c>
      <c r="K41" s="60" t="s">
        <v>312</v>
      </c>
      <c r="L41" s="62" t="s">
        <v>274</v>
      </c>
      <c r="M41" s="63">
        <v>93550</v>
      </c>
      <c r="N41" s="73" t="s">
        <v>281</v>
      </c>
      <c r="O41" s="73"/>
      <c r="P41" s="73"/>
      <c r="Q41" s="73"/>
      <c r="R41" s="73"/>
      <c r="S41" s="71">
        <v>671507.69</v>
      </c>
      <c r="T41" s="74" t="s">
        <v>254</v>
      </c>
      <c r="U41" s="74">
        <v>110807.69</v>
      </c>
      <c r="V41" s="74">
        <f>SUM(LIST_LOCATIONDETAILS334[[#This Row],[Building]:[BI]])</f>
        <v>782315.37999999989</v>
      </c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0" t="s">
        <v>269</v>
      </c>
      <c r="AQ41" s="62"/>
      <c r="AR41" s="62"/>
      <c r="AS41" s="60" t="s">
        <v>282</v>
      </c>
      <c r="AT41" s="60">
        <v>1971</v>
      </c>
      <c r="AU41" s="62"/>
      <c r="AV41" s="63"/>
      <c r="AW41" s="63"/>
      <c r="AX41" s="62"/>
      <c r="AY41" s="62"/>
      <c r="AZ41" s="60">
        <v>2</v>
      </c>
      <c r="BA41" s="60">
        <v>3856</v>
      </c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2"/>
      <c r="CD41" s="62"/>
      <c r="CE41" s="62"/>
      <c r="CF41" s="62"/>
      <c r="CG41" s="62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  <c r="EA41" s="62"/>
      <c r="EB41" s="62"/>
      <c r="EC41" s="62"/>
      <c r="ED41" s="62"/>
      <c r="EE41" s="62"/>
      <c r="EF41" s="62"/>
      <c r="EG41" s="62"/>
      <c r="EH41" s="62"/>
      <c r="EI41" s="62"/>
      <c r="EJ41" s="62"/>
      <c r="EK41" s="62"/>
      <c r="EL41" s="62"/>
      <c r="EM41" s="62"/>
      <c r="EN41" s="62"/>
      <c r="EO41" s="62"/>
      <c r="EP41" s="62"/>
      <c r="EQ41" s="62"/>
      <c r="ER41" s="62"/>
      <c r="ES41" s="62"/>
      <c r="ET41" s="62"/>
      <c r="EU41" s="62"/>
      <c r="EV41" s="62"/>
      <c r="EW41" s="62"/>
      <c r="EX41" s="62"/>
      <c r="EY41" s="62"/>
      <c r="EZ41" s="62"/>
      <c r="FA41" s="62"/>
      <c r="FB41" s="62"/>
      <c r="FC41" s="62"/>
      <c r="FD41" s="62"/>
      <c r="FE41" s="62"/>
      <c r="FF41" s="62"/>
      <c r="FG41" s="62"/>
      <c r="FH41" s="62"/>
      <c r="FI41" s="62"/>
      <c r="FJ41" s="67"/>
      <c r="FK41" s="67"/>
      <c r="FL41" s="67"/>
      <c r="FM41" s="67"/>
      <c r="FN41" s="67"/>
      <c r="FO41" s="67"/>
      <c r="FP41" s="67"/>
      <c r="FQ41" s="67"/>
      <c r="FR41" s="62"/>
      <c r="FS41" s="62"/>
      <c r="FT41" s="62"/>
      <c r="FU41" s="62"/>
      <c r="FV41" s="62"/>
      <c r="FW41" s="62"/>
      <c r="FX41" s="62"/>
      <c r="FY41" s="62"/>
      <c r="FZ41" s="62"/>
      <c r="GA41" s="62"/>
      <c r="GB41" s="62"/>
      <c r="GC41" s="62"/>
      <c r="GD41" s="62"/>
      <c r="GE41" s="62"/>
      <c r="GF41" s="63"/>
      <c r="GG41" s="63"/>
      <c r="GH41" s="62"/>
      <c r="GI41" s="62"/>
      <c r="GJ41" s="62"/>
      <c r="GK41" s="62"/>
      <c r="GL41" s="62"/>
      <c r="GM41" s="62"/>
      <c r="GN41" s="62"/>
      <c r="GO41" s="62"/>
      <c r="GP41" s="62"/>
      <c r="GQ41" s="62"/>
      <c r="GR41" s="62"/>
      <c r="GS41" s="62"/>
      <c r="GT41" s="62"/>
      <c r="GU41" s="62"/>
      <c r="GV41" s="62"/>
      <c r="GW41" s="62"/>
      <c r="GX41" s="62"/>
      <c r="GY41" s="62"/>
      <c r="GZ41" s="62"/>
      <c r="HA41" s="62"/>
      <c r="HB41" s="62"/>
      <c r="HC41" s="62"/>
      <c r="HD41" s="62"/>
      <c r="HE41" s="62"/>
      <c r="HF41" s="62"/>
      <c r="HG41" s="68" t="s">
        <v>257</v>
      </c>
      <c r="HH41" s="62" t="s">
        <v>258</v>
      </c>
      <c r="HI41" s="62"/>
      <c r="HJ41" s="62">
        <v>4</v>
      </c>
      <c r="HK41" s="62">
        <v>2019</v>
      </c>
      <c r="HL41" s="62" t="s">
        <v>301</v>
      </c>
      <c r="HM41" s="62">
        <v>2019</v>
      </c>
      <c r="HN41" s="62" t="s">
        <v>261</v>
      </c>
      <c r="HO41" s="62">
        <v>2019</v>
      </c>
      <c r="HP41" s="70">
        <v>1</v>
      </c>
      <c r="HQ41" s="70">
        <v>0</v>
      </c>
      <c r="HR41" s="70">
        <v>0</v>
      </c>
      <c r="HS41" s="70">
        <v>0</v>
      </c>
      <c r="HT41" s="70">
        <v>0.97</v>
      </c>
      <c r="HU41" s="62" t="s">
        <v>286</v>
      </c>
      <c r="HV41" s="62" t="s">
        <v>263</v>
      </c>
      <c r="HW41" s="62"/>
      <c r="HX41" s="62"/>
    </row>
    <row r="42" spans="2:232" hidden="1" x14ac:dyDescent="0.2">
      <c r="B42" s="60">
        <v>14</v>
      </c>
      <c r="C42" s="60">
        <v>9</v>
      </c>
      <c r="D42" s="61" t="s">
        <v>312</v>
      </c>
      <c r="E42" s="62"/>
      <c r="F42" s="62"/>
      <c r="G42" s="62"/>
      <c r="H42" s="62"/>
      <c r="I42" s="62"/>
      <c r="J42" s="61" t="s">
        <v>313</v>
      </c>
      <c r="K42" s="60" t="s">
        <v>312</v>
      </c>
      <c r="L42" s="62" t="s">
        <v>274</v>
      </c>
      <c r="M42" s="63">
        <v>93550</v>
      </c>
      <c r="N42" s="73" t="s">
        <v>281</v>
      </c>
      <c r="O42" s="73"/>
      <c r="P42" s="73"/>
      <c r="Q42" s="73"/>
      <c r="R42" s="73"/>
      <c r="S42" s="71">
        <v>671507.69</v>
      </c>
      <c r="T42" s="74" t="s">
        <v>254</v>
      </c>
      <c r="U42" s="74">
        <v>110807.69</v>
      </c>
      <c r="V42" s="74">
        <f>SUM(LIST_LOCATIONDETAILS334[[#This Row],[Building]:[BI]])</f>
        <v>782315.37999999989</v>
      </c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0" t="s">
        <v>269</v>
      </c>
      <c r="AQ42" s="62"/>
      <c r="AR42" s="62"/>
      <c r="AS42" s="60" t="s">
        <v>282</v>
      </c>
      <c r="AT42" s="60">
        <v>1971</v>
      </c>
      <c r="AU42" s="62"/>
      <c r="AV42" s="63"/>
      <c r="AW42" s="63"/>
      <c r="AX42" s="62"/>
      <c r="AY42" s="62"/>
      <c r="AZ42" s="60">
        <v>2</v>
      </c>
      <c r="BA42" s="60">
        <v>3856</v>
      </c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2"/>
      <c r="CB42" s="62"/>
      <c r="CC42" s="62"/>
      <c r="CD42" s="62"/>
      <c r="CE42" s="62"/>
      <c r="CF42" s="62"/>
      <c r="CG42" s="62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  <c r="EA42" s="62"/>
      <c r="EB42" s="62"/>
      <c r="EC42" s="62"/>
      <c r="ED42" s="62"/>
      <c r="EE42" s="62"/>
      <c r="EF42" s="62"/>
      <c r="EG42" s="62"/>
      <c r="EH42" s="62"/>
      <c r="EI42" s="62"/>
      <c r="EJ42" s="62"/>
      <c r="EK42" s="62"/>
      <c r="EL42" s="62"/>
      <c r="EM42" s="62"/>
      <c r="EN42" s="62"/>
      <c r="EO42" s="62"/>
      <c r="EP42" s="62"/>
      <c r="EQ42" s="62"/>
      <c r="ER42" s="62"/>
      <c r="ES42" s="62"/>
      <c r="ET42" s="62"/>
      <c r="EU42" s="62"/>
      <c r="EV42" s="62"/>
      <c r="EW42" s="62"/>
      <c r="EX42" s="62"/>
      <c r="EY42" s="62"/>
      <c r="EZ42" s="62"/>
      <c r="FA42" s="62"/>
      <c r="FB42" s="62"/>
      <c r="FC42" s="62"/>
      <c r="FD42" s="62"/>
      <c r="FE42" s="62"/>
      <c r="FF42" s="62"/>
      <c r="FG42" s="62"/>
      <c r="FH42" s="62"/>
      <c r="FI42" s="62"/>
      <c r="FJ42" s="67"/>
      <c r="FK42" s="67"/>
      <c r="FL42" s="67"/>
      <c r="FM42" s="67"/>
      <c r="FN42" s="67"/>
      <c r="FO42" s="67"/>
      <c r="FP42" s="67"/>
      <c r="FQ42" s="67"/>
      <c r="FR42" s="62"/>
      <c r="FS42" s="62"/>
      <c r="FT42" s="62"/>
      <c r="FU42" s="62"/>
      <c r="FV42" s="62"/>
      <c r="FW42" s="62"/>
      <c r="FX42" s="62"/>
      <c r="FY42" s="62"/>
      <c r="FZ42" s="62"/>
      <c r="GA42" s="62"/>
      <c r="GB42" s="62"/>
      <c r="GC42" s="62"/>
      <c r="GD42" s="62"/>
      <c r="GE42" s="62"/>
      <c r="GF42" s="63"/>
      <c r="GG42" s="63"/>
      <c r="GH42" s="62"/>
      <c r="GI42" s="62"/>
      <c r="GJ42" s="62"/>
      <c r="GK42" s="62"/>
      <c r="GL42" s="62"/>
      <c r="GM42" s="62"/>
      <c r="GN42" s="62"/>
      <c r="GO42" s="62"/>
      <c r="GP42" s="62"/>
      <c r="GQ42" s="62"/>
      <c r="GR42" s="62"/>
      <c r="GS42" s="62"/>
      <c r="GT42" s="62"/>
      <c r="GU42" s="62"/>
      <c r="GV42" s="62"/>
      <c r="GW42" s="62"/>
      <c r="GX42" s="62"/>
      <c r="GY42" s="62"/>
      <c r="GZ42" s="62"/>
      <c r="HA42" s="62"/>
      <c r="HB42" s="62"/>
      <c r="HC42" s="62"/>
      <c r="HD42" s="62"/>
      <c r="HE42" s="62"/>
      <c r="HF42" s="62"/>
      <c r="HG42" s="68" t="s">
        <v>257</v>
      </c>
      <c r="HH42" s="62" t="s">
        <v>258</v>
      </c>
      <c r="HI42" s="62"/>
      <c r="HJ42" s="62">
        <v>4</v>
      </c>
      <c r="HK42" s="62">
        <v>2019</v>
      </c>
      <c r="HL42" s="62" t="s">
        <v>301</v>
      </c>
      <c r="HM42" s="62">
        <v>2019</v>
      </c>
      <c r="HN42" s="62" t="s">
        <v>261</v>
      </c>
      <c r="HO42" s="62">
        <v>2019</v>
      </c>
      <c r="HP42" s="70">
        <v>1</v>
      </c>
      <c r="HQ42" s="70">
        <v>0</v>
      </c>
      <c r="HR42" s="70">
        <v>0</v>
      </c>
      <c r="HS42" s="70">
        <v>0</v>
      </c>
      <c r="HT42" s="70">
        <v>0.97</v>
      </c>
      <c r="HU42" s="62" t="s">
        <v>286</v>
      </c>
      <c r="HV42" s="62" t="s">
        <v>263</v>
      </c>
      <c r="HW42" s="62"/>
      <c r="HX42" s="62"/>
    </row>
    <row r="43" spans="2:232" hidden="1" x14ac:dyDescent="0.2">
      <c r="B43" s="60">
        <v>14</v>
      </c>
      <c r="C43" s="60">
        <v>10</v>
      </c>
      <c r="D43" s="61" t="s">
        <v>312</v>
      </c>
      <c r="E43" s="62"/>
      <c r="F43" s="62"/>
      <c r="G43" s="62"/>
      <c r="H43" s="62"/>
      <c r="I43" s="62"/>
      <c r="J43" s="61" t="s">
        <v>313</v>
      </c>
      <c r="K43" s="60" t="s">
        <v>312</v>
      </c>
      <c r="L43" s="62" t="s">
        <v>274</v>
      </c>
      <c r="M43" s="63">
        <v>93550</v>
      </c>
      <c r="N43" s="73" t="s">
        <v>281</v>
      </c>
      <c r="O43" s="73"/>
      <c r="P43" s="73"/>
      <c r="Q43" s="73"/>
      <c r="R43" s="73"/>
      <c r="S43" s="71">
        <v>671507.69</v>
      </c>
      <c r="T43" s="74" t="s">
        <v>254</v>
      </c>
      <c r="U43" s="74">
        <v>110807.69</v>
      </c>
      <c r="V43" s="74">
        <f>SUM(LIST_LOCATIONDETAILS334[[#This Row],[Building]:[BI]])</f>
        <v>782315.37999999989</v>
      </c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0" t="s">
        <v>269</v>
      </c>
      <c r="AQ43" s="62"/>
      <c r="AR43" s="62"/>
      <c r="AS43" s="60" t="s">
        <v>282</v>
      </c>
      <c r="AT43" s="60">
        <v>1971</v>
      </c>
      <c r="AU43" s="62"/>
      <c r="AV43" s="63"/>
      <c r="AW43" s="63"/>
      <c r="AX43" s="62"/>
      <c r="AY43" s="62"/>
      <c r="AZ43" s="60">
        <v>2</v>
      </c>
      <c r="BA43" s="60">
        <v>3856</v>
      </c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2"/>
      <c r="CB43" s="62"/>
      <c r="CC43" s="62"/>
      <c r="CD43" s="62"/>
      <c r="CE43" s="62"/>
      <c r="CF43" s="62"/>
      <c r="CG43" s="62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  <c r="EA43" s="62"/>
      <c r="EB43" s="62"/>
      <c r="EC43" s="62"/>
      <c r="ED43" s="62"/>
      <c r="EE43" s="62"/>
      <c r="EF43" s="62"/>
      <c r="EG43" s="62"/>
      <c r="EH43" s="62"/>
      <c r="EI43" s="62"/>
      <c r="EJ43" s="62"/>
      <c r="EK43" s="62"/>
      <c r="EL43" s="62"/>
      <c r="EM43" s="62"/>
      <c r="EN43" s="62"/>
      <c r="EO43" s="62"/>
      <c r="EP43" s="62"/>
      <c r="EQ43" s="62"/>
      <c r="ER43" s="62"/>
      <c r="ES43" s="62"/>
      <c r="ET43" s="62"/>
      <c r="EU43" s="62"/>
      <c r="EV43" s="62"/>
      <c r="EW43" s="62"/>
      <c r="EX43" s="62"/>
      <c r="EY43" s="62"/>
      <c r="EZ43" s="62"/>
      <c r="FA43" s="62"/>
      <c r="FB43" s="62"/>
      <c r="FC43" s="62"/>
      <c r="FD43" s="62"/>
      <c r="FE43" s="62"/>
      <c r="FF43" s="62"/>
      <c r="FG43" s="62"/>
      <c r="FH43" s="62"/>
      <c r="FI43" s="62"/>
      <c r="FJ43" s="67"/>
      <c r="FK43" s="67"/>
      <c r="FL43" s="67"/>
      <c r="FM43" s="67"/>
      <c r="FN43" s="67"/>
      <c r="FO43" s="67"/>
      <c r="FP43" s="67"/>
      <c r="FQ43" s="67"/>
      <c r="FR43" s="62"/>
      <c r="FS43" s="62"/>
      <c r="FT43" s="62"/>
      <c r="FU43" s="62"/>
      <c r="FV43" s="62"/>
      <c r="FW43" s="62"/>
      <c r="FX43" s="62"/>
      <c r="FY43" s="62"/>
      <c r="FZ43" s="62"/>
      <c r="GA43" s="62"/>
      <c r="GB43" s="62"/>
      <c r="GC43" s="62"/>
      <c r="GD43" s="62"/>
      <c r="GE43" s="62"/>
      <c r="GF43" s="63"/>
      <c r="GG43" s="63"/>
      <c r="GH43" s="62"/>
      <c r="GI43" s="62"/>
      <c r="GJ43" s="62"/>
      <c r="GK43" s="62"/>
      <c r="GL43" s="62"/>
      <c r="GM43" s="62"/>
      <c r="GN43" s="62"/>
      <c r="GO43" s="62"/>
      <c r="GP43" s="62"/>
      <c r="GQ43" s="62"/>
      <c r="GR43" s="62"/>
      <c r="GS43" s="62"/>
      <c r="GT43" s="62"/>
      <c r="GU43" s="62"/>
      <c r="GV43" s="62"/>
      <c r="GW43" s="62"/>
      <c r="GX43" s="62"/>
      <c r="GY43" s="62"/>
      <c r="GZ43" s="62"/>
      <c r="HA43" s="62"/>
      <c r="HB43" s="62"/>
      <c r="HC43" s="62"/>
      <c r="HD43" s="62"/>
      <c r="HE43" s="62"/>
      <c r="HF43" s="62"/>
      <c r="HG43" s="68" t="s">
        <v>257</v>
      </c>
      <c r="HH43" s="62" t="s">
        <v>258</v>
      </c>
      <c r="HI43" s="62"/>
      <c r="HJ43" s="62">
        <v>4</v>
      </c>
      <c r="HK43" s="62">
        <v>2019</v>
      </c>
      <c r="HL43" s="62" t="s">
        <v>301</v>
      </c>
      <c r="HM43" s="62">
        <v>2019</v>
      </c>
      <c r="HN43" s="62" t="s">
        <v>261</v>
      </c>
      <c r="HO43" s="62">
        <v>2019</v>
      </c>
      <c r="HP43" s="70">
        <v>1</v>
      </c>
      <c r="HQ43" s="70">
        <v>0</v>
      </c>
      <c r="HR43" s="70">
        <v>0</v>
      </c>
      <c r="HS43" s="70">
        <v>0</v>
      </c>
      <c r="HT43" s="70">
        <v>0.97</v>
      </c>
      <c r="HU43" s="62" t="s">
        <v>286</v>
      </c>
      <c r="HV43" s="62" t="s">
        <v>263</v>
      </c>
      <c r="HW43" s="62"/>
      <c r="HX43" s="62"/>
    </row>
    <row r="44" spans="2:232" hidden="1" x14ac:dyDescent="0.2">
      <c r="B44" s="60">
        <v>14</v>
      </c>
      <c r="C44" s="60">
        <v>11</v>
      </c>
      <c r="D44" s="61" t="s">
        <v>312</v>
      </c>
      <c r="E44" s="62"/>
      <c r="F44" s="62"/>
      <c r="G44" s="62"/>
      <c r="H44" s="62"/>
      <c r="I44" s="62"/>
      <c r="J44" s="61" t="s">
        <v>313</v>
      </c>
      <c r="K44" s="60" t="s">
        <v>312</v>
      </c>
      <c r="L44" s="62" t="s">
        <v>274</v>
      </c>
      <c r="M44" s="63">
        <v>93550</v>
      </c>
      <c r="N44" s="73" t="s">
        <v>281</v>
      </c>
      <c r="O44" s="73"/>
      <c r="P44" s="73"/>
      <c r="Q44" s="73"/>
      <c r="R44" s="73"/>
      <c r="S44" s="71">
        <v>671507.69</v>
      </c>
      <c r="T44" s="74" t="s">
        <v>254</v>
      </c>
      <c r="U44" s="74">
        <v>110807.69</v>
      </c>
      <c r="V44" s="74">
        <f>SUM(LIST_LOCATIONDETAILS334[[#This Row],[Building]:[BI]])</f>
        <v>782315.37999999989</v>
      </c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0" t="s">
        <v>269</v>
      </c>
      <c r="AQ44" s="62"/>
      <c r="AR44" s="62"/>
      <c r="AS44" s="60" t="s">
        <v>282</v>
      </c>
      <c r="AT44" s="60">
        <v>1971</v>
      </c>
      <c r="AU44" s="62"/>
      <c r="AV44" s="63"/>
      <c r="AW44" s="63"/>
      <c r="AX44" s="62"/>
      <c r="AY44" s="62"/>
      <c r="AZ44" s="60">
        <v>2</v>
      </c>
      <c r="BA44" s="60">
        <v>3856</v>
      </c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  <c r="EA44" s="62"/>
      <c r="EB44" s="62"/>
      <c r="EC44" s="62"/>
      <c r="ED44" s="62"/>
      <c r="EE44" s="62"/>
      <c r="EF44" s="62"/>
      <c r="EG44" s="62"/>
      <c r="EH44" s="62"/>
      <c r="EI44" s="62"/>
      <c r="EJ44" s="62"/>
      <c r="EK44" s="62"/>
      <c r="EL44" s="62"/>
      <c r="EM44" s="62"/>
      <c r="EN44" s="62"/>
      <c r="EO44" s="62"/>
      <c r="EP44" s="62"/>
      <c r="EQ44" s="62"/>
      <c r="ER44" s="62"/>
      <c r="ES44" s="62"/>
      <c r="ET44" s="62"/>
      <c r="EU44" s="62"/>
      <c r="EV44" s="62"/>
      <c r="EW44" s="62"/>
      <c r="EX44" s="62"/>
      <c r="EY44" s="62"/>
      <c r="EZ44" s="62"/>
      <c r="FA44" s="62"/>
      <c r="FB44" s="62"/>
      <c r="FC44" s="62"/>
      <c r="FD44" s="62"/>
      <c r="FE44" s="62"/>
      <c r="FF44" s="62"/>
      <c r="FG44" s="62"/>
      <c r="FH44" s="62"/>
      <c r="FI44" s="62"/>
      <c r="FJ44" s="67"/>
      <c r="FK44" s="67"/>
      <c r="FL44" s="67"/>
      <c r="FM44" s="67"/>
      <c r="FN44" s="67"/>
      <c r="FO44" s="67"/>
      <c r="FP44" s="67"/>
      <c r="FQ44" s="67"/>
      <c r="FR44" s="62"/>
      <c r="FS44" s="62"/>
      <c r="FT44" s="62"/>
      <c r="FU44" s="62"/>
      <c r="FV44" s="62"/>
      <c r="FW44" s="62"/>
      <c r="FX44" s="62"/>
      <c r="FY44" s="62"/>
      <c r="FZ44" s="62"/>
      <c r="GA44" s="62"/>
      <c r="GB44" s="62"/>
      <c r="GC44" s="62"/>
      <c r="GD44" s="62"/>
      <c r="GE44" s="62"/>
      <c r="GF44" s="63"/>
      <c r="GG44" s="63"/>
      <c r="GH44" s="62"/>
      <c r="GI44" s="62"/>
      <c r="GJ44" s="62"/>
      <c r="GK44" s="62"/>
      <c r="GL44" s="62"/>
      <c r="GM44" s="62"/>
      <c r="GN44" s="62"/>
      <c r="GO44" s="62"/>
      <c r="GP44" s="62"/>
      <c r="GQ44" s="62"/>
      <c r="GR44" s="62"/>
      <c r="GS44" s="62"/>
      <c r="GT44" s="62"/>
      <c r="GU44" s="62"/>
      <c r="GV44" s="62"/>
      <c r="GW44" s="62"/>
      <c r="GX44" s="62"/>
      <c r="GY44" s="62"/>
      <c r="GZ44" s="62"/>
      <c r="HA44" s="62"/>
      <c r="HB44" s="62"/>
      <c r="HC44" s="62"/>
      <c r="HD44" s="62"/>
      <c r="HE44" s="62"/>
      <c r="HF44" s="62"/>
      <c r="HG44" s="68" t="s">
        <v>257</v>
      </c>
      <c r="HH44" s="62" t="s">
        <v>258</v>
      </c>
      <c r="HI44" s="62"/>
      <c r="HJ44" s="62">
        <v>4</v>
      </c>
      <c r="HK44" s="62">
        <v>2019</v>
      </c>
      <c r="HL44" s="62" t="s">
        <v>301</v>
      </c>
      <c r="HM44" s="62">
        <v>2019</v>
      </c>
      <c r="HN44" s="62" t="s">
        <v>261</v>
      </c>
      <c r="HO44" s="62">
        <v>2019</v>
      </c>
      <c r="HP44" s="70">
        <v>1</v>
      </c>
      <c r="HQ44" s="70">
        <v>0</v>
      </c>
      <c r="HR44" s="70">
        <v>0</v>
      </c>
      <c r="HS44" s="70">
        <v>0</v>
      </c>
      <c r="HT44" s="70">
        <v>0.97</v>
      </c>
      <c r="HU44" s="62" t="s">
        <v>286</v>
      </c>
      <c r="HV44" s="62" t="s">
        <v>263</v>
      </c>
      <c r="HW44" s="62"/>
      <c r="HX44" s="62"/>
    </row>
    <row r="45" spans="2:232" hidden="1" x14ac:dyDescent="0.2">
      <c r="B45" s="60">
        <v>14</v>
      </c>
      <c r="C45" s="60">
        <v>12</v>
      </c>
      <c r="D45" s="61" t="s">
        <v>312</v>
      </c>
      <c r="E45" s="62"/>
      <c r="F45" s="62"/>
      <c r="G45" s="62"/>
      <c r="H45" s="62"/>
      <c r="I45" s="62"/>
      <c r="J45" s="61" t="s">
        <v>313</v>
      </c>
      <c r="K45" s="60" t="s">
        <v>312</v>
      </c>
      <c r="L45" s="62" t="s">
        <v>274</v>
      </c>
      <c r="M45" s="63">
        <v>93550</v>
      </c>
      <c r="N45" s="73" t="s">
        <v>281</v>
      </c>
      <c r="O45" s="73"/>
      <c r="P45" s="73"/>
      <c r="Q45" s="73"/>
      <c r="R45" s="73"/>
      <c r="S45" s="71">
        <v>671507.69</v>
      </c>
      <c r="T45" s="74" t="s">
        <v>254</v>
      </c>
      <c r="U45" s="74">
        <v>110807.69</v>
      </c>
      <c r="V45" s="74">
        <f>SUM(LIST_LOCATIONDETAILS334[[#This Row],[Building]:[BI]])</f>
        <v>782315.37999999989</v>
      </c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0" t="s">
        <v>269</v>
      </c>
      <c r="AQ45" s="62"/>
      <c r="AR45" s="62"/>
      <c r="AS45" s="60" t="s">
        <v>282</v>
      </c>
      <c r="AT45" s="60">
        <v>1971</v>
      </c>
      <c r="AU45" s="62"/>
      <c r="AV45" s="63"/>
      <c r="AW45" s="63"/>
      <c r="AX45" s="62"/>
      <c r="AY45" s="62"/>
      <c r="AZ45" s="60">
        <v>2</v>
      </c>
      <c r="BA45" s="60">
        <v>3856</v>
      </c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2"/>
      <c r="CB45" s="62"/>
      <c r="CC45" s="62"/>
      <c r="CD45" s="62"/>
      <c r="CE45" s="62"/>
      <c r="CF45" s="62"/>
      <c r="CG45" s="62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  <c r="EA45" s="62"/>
      <c r="EB45" s="62"/>
      <c r="EC45" s="62"/>
      <c r="ED45" s="62"/>
      <c r="EE45" s="62"/>
      <c r="EF45" s="62"/>
      <c r="EG45" s="62"/>
      <c r="EH45" s="62"/>
      <c r="EI45" s="62"/>
      <c r="EJ45" s="62"/>
      <c r="EK45" s="62"/>
      <c r="EL45" s="62"/>
      <c r="EM45" s="62"/>
      <c r="EN45" s="62"/>
      <c r="EO45" s="62"/>
      <c r="EP45" s="62"/>
      <c r="EQ45" s="62"/>
      <c r="ER45" s="62"/>
      <c r="ES45" s="62"/>
      <c r="ET45" s="62"/>
      <c r="EU45" s="62"/>
      <c r="EV45" s="62"/>
      <c r="EW45" s="62"/>
      <c r="EX45" s="62"/>
      <c r="EY45" s="62"/>
      <c r="EZ45" s="62"/>
      <c r="FA45" s="62"/>
      <c r="FB45" s="62"/>
      <c r="FC45" s="62"/>
      <c r="FD45" s="62"/>
      <c r="FE45" s="62"/>
      <c r="FF45" s="62"/>
      <c r="FG45" s="62"/>
      <c r="FH45" s="62"/>
      <c r="FI45" s="62"/>
      <c r="FJ45" s="67"/>
      <c r="FK45" s="67"/>
      <c r="FL45" s="67"/>
      <c r="FM45" s="67"/>
      <c r="FN45" s="67"/>
      <c r="FO45" s="67"/>
      <c r="FP45" s="67"/>
      <c r="FQ45" s="67"/>
      <c r="FR45" s="62"/>
      <c r="FS45" s="62"/>
      <c r="FT45" s="62"/>
      <c r="FU45" s="62"/>
      <c r="FV45" s="62"/>
      <c r="FW45" s="62"/>
      <c r="FX45" s="62"/>
      <c r="FY45" s="62"/>
      <c r="FZ45" s="62"/>
      <c r="GA45" s="62"/>
      <c r="GB45" s="62"/>
      <c r="GC45" s="62"/>
      <c r="GD45" s="62"/>
      <c r="GE45" s="62"/>
      <c r="GF45" s="63"/>
      <c r="GG45" s="63"/>
      <c r="GH45" s="62"/>
      <c r="GI45" s="62"/>
      <c r="GJ45" s="62"/>
      <c r="GK45" s="62"/>
      <c r="GL45" s="62"/>
      <c r="GM45" s="62"/>
      <c r="GN45" s="62"/>
      <c r="GO45" s="62"/>
      <c r="GP45" s="62"/>
      <c r="GQ45" s="62"/>
      <c r="GR45" s="62"/>
      <c r="GS45" s="62"/>
      <c r="GT45" s="62"/>
      <c r="GU45" s="62"/>
      <c r="GV45" s="62"/>
      <c r="GW45" s="62"/>
      <c r="GX45" s="62"/>
      <c r="GY45" s="62"/>
      <c r="GZ45" s="62"/>
      <c r="HA45" s="62"/>
      <c r="HB45" s="62"/>
      <c r="HC45" s="62"/>
      <c r="HD45" s="62"/>
      <c r="HE45" s="62"/>
      <c r="HF45" s="62"/>
      <c r="HG45" s="68" t="s">
        <v>257</v>
      </c>
      <c r="HH45" s="62" t="s">
        <v>258</v>
      </c>
      <c r="HI45" s="62"/>
      <c r="HJ45" s="62">
        <v>4</v>
      </c>
      <c r="HK45" s="62">
        <v>2019</v>
      </c>
      <c r="HL45" s="62" t="s">
        <v>301</v>
      </c>
      <c r="HM45" s="62">
        <v>2019</v>
      </c>
      <c r="HN45" s="62" t="s">
        <v>261</v>
      </c>
      <c r="HO45" s="62">
        <v>2019</v>
      </c>
      <c r="HP45" s="70">
        <v>1</v>
      </c>
      <c r="HQ45" s="70">
        <v>0</v>
      </c>
      <c r="HR45" s="70">
        <v>0</v>
      </c>
      <c r="HS45" s="70">
        <v>0</v>
      </c>
      <c r="HT45" s="70">
        <v>0.97</v>
      </c>
      <c r="HU45" s="62" t="s">
        <v>286</v>
      </c>
      <c r="HV45" s="62" t="s">
        <v>263</v>
      </c>
      <c r="HW45" s="62"/>
      <c r="HX45" s="62"/>
    </row>
    <row r="46" spans="2:232" hidden="1" x14ac:dyDescent="0.2">
      <c r="B46" s="60">
        <v>14</v>
      </c>
      <c r="C46" s="60">
        <v>13</v>
      </c>
      <c r="D46" s="61" t="s">
        <v>312</v>
      </c>
      <c r="E46" s="62"/>
      <c r="F46" s="62"/>
      <c r="G46" s="62"/>
      <c r="H46" s="62"/>
      <c r="I46" s="62"/>
      <c r="J46" s="61" t="s">
        <v>313</v>
      </c>
      <c r="K46" s="60" t="s">
        <v>312</v>
      </c>
      <c r="L46" s="62" t="s">
        <v>274</v>
      </c>
      <c r="M46" s="63">
        <v>93550</v>
      </c>
      <c r="N46" s="73" t="s">
        <v>281</v>
      </c>
      <c r="O46" s="73"/>
      <c r="P46" s="73"/>
      <c r="Q46" s="73"/>
      <c r="R46" s="73"/>
      <c r="S46" s="71">
        <v>671507.69</v>
      </c>
      <c r="T46" s="74" t="s">
        <v>254</v>
      </c>
      <c r="U46" s="74">
        <v>110807.69</v>
      </c>
      <c r="V46" s="74">
        <f>SUM(LIST_LOCATIONDETAILS334[[#This Row],[Building]:[BI]])</f>
        <v>782315.37999999989</v>
      </c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0" t="s">
        <v>269</v>
      </c>
      <c r="AQ46" s="62"/>
      <c r="AR46" s="62"/>
      <c r="AS46" s="60" t="s">
        <v>282</v>
      </c>
      <c r="AT46" s="60">
        <v>1971</v>
      </c>
      <c r="AU46" s="62"/>
      <c r="AV46" s="63"/>
      <c r="AW46" s="63"/>
      <c r="AX46" s="62"/>
      <c r="AY46" s="62"/>
      <c r="AZ46" s="60">
        <v>2</v>
      </c>
      <c r="BA46" s="60">
        <v>3856</v>
      </c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2"/>
      <c r="CB46" s="62"/>
      <c r="CC46" s="62"/>
      <c r="CD46" s="62"/>
      <c r="CE46" s="62"/>
      <c r="CF46" s="62"/>
      <c r="CG46" s="62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  <c r="EA46" s="62"/>
      <c r="EB46" s="62"/>
      <c r="EC46" s="62"/>
      <c r="ED46" s="62"/>
      <c r="EE46" s="62"/>
      <c r="EF46" s="62"/>
      <c r="EG46" s="62"/>
      <c r="EH46" s="62"/>
      <c r="EI46" s="62"/>
      <c r="EJ46" s="62"/>
      <c r="EK46" s="62"/>
      <c r="EL46" s="62"/>
      <c r="EM46" s="62"/>
      <c r="EN46" s="62"/>
      <c r="EO46" s="62"/>
      <c r="EP46" s="62"/>
      <c r="EQ46" s="62"/>
      <c r="ER46" s="62"/>
      <c r="ES46" s="62"/>
      <c r="ET46" s="62"/>
      <c r="EU46" s="62"/>
      <c r="EV46" s="62"/>
      <c r="EW46" s="62"/>
      <c r="EX46" s="62"/>
      <c r="EY46" s="62"/>
      <c r="EZ46" s="62"/>
      <c r="FA46" s="62"/>
      <c r="FB46" s="62"/>
      <c r="FC46" s="62"/>
      <c r="FD46" s="62"/>
      <c r="FE46" s="62"/>
      <c r="FF46" s="62"/>
      <c r="FG46" s="62"/>
      <c r="FH46" s="62"/>
      <c r="FI46" s="62"/>
      <c r="FJ46" s="67"/>
      <c r="FK46" s="67"/>
      <c r="FL46" s="67"/>
      <c r="FM46" s="67"/>
      <c r="FN46" s="67"/>
      <c r="FO46" s="67"/>
      <c r="FP46" s="67"/>
      <c r="FQ46" s="67"/>
      <c r="FR46" s="62"/>
      <c r="FS46" s="62"/>
      <c r="FT46" s="62"/>
      <c r="FU46" s="62"/>
      <c r="FV46" s="62"/>
      <c r="FW46" s="62"/>
      <c r="FX46" s="62"/>
      <c r="FY46" s="62"/>
      <c r="FZ46" s="62"/>
      <c r="GA46" s="62"/>
      <c r="GB46" s="62"/>
      <c r="GC46" s="62"/>
      <c r="GD46" s="62"/>
      <c r="GE46" s="62"/>
      <c r="GF46" s="63"/>
      <c r="GG46" s="63"/>
      <c r="GH46" s="62"/>
      <c r="GI46" s="62"/>
      <c r="GJ46" s="62"/>
      <c r="GK46" s="62"/>
      <c r="GL46" s="62"/>
      <c r="GM46" s="62"/>
      <c r="GN46" s="62"/>
      <c r="GO46" s="62"/>
      <c r="GP46" s="62"/>
      <c r="GQ46" s="62"/>
      <c r="GR46" s="62"/>
      <c r="GS46" s="62"/>
      <c r="GT46" s="62"/>
      <c r="GU46" s="62"/>
      <c r="GV46" s="62"/>
      <c r="GW46" s="62"/>
      <c r="GX46" s="62"/>
      <c r="GY46" s="62"/>
      <c r="GZ46" s="62"/>
      <c r="HA46" s="62"/>
      <c r="HB46" s="62"/>
      <c r="HC46" s="62"/>
      <c r="HD46" s="62"/>
      <c r="HE46" s="62"/>
      <c r="HF46" s="62"/>
      <c r="HG46" s="68" t="s">
        <v>257</v>
      </c>
      <c r="HH46" s="62" t="s">
        <v>258</v>
      </c>
      <c r="HI46" s="62"/>
      <c r="HJ46" s="62">
        <v>4</v>
      </c>
      <c r="HK46" s="62">
        <v>2019</v>
      </c>
      <c r="HL46" s="62" t="s">
        <v>301</v>
      </c>
      <c r="HM46" s="62">
        <v>2019</v>
      </c>
      <c r="HN46" s="62" t="s">
        <v>261</v>
      </c>
      <c r="HO46" s="62">
        <v>2019</v>
      </c>
      <c r="HP46" s="70">
        <v>1</v>
      </c>
      <c r="HQ46" s="70">
        <v>0</v>
      </c>
      <c r="HR46" s="70">
        <v>0</v>
      </c>
      <c r="HS46" s="70">
        <v>0</v>
      </c>
      <c r="HT46" s="70">
        <v>0.97</v>
      </c>
      <c r="HU46" s="62" t="s">
        <v>286</v>
      </c>
      <c r="HV46" s="62" t="s">
        <v>263</v>
      </c>
      <c r="HW46" s="62"/>
      <c r="HX46" s="62"/>
    </row>
    <row r="47" spans="2:232" hidden="1" x14ac:dyDescent="0.2">
      <c r="B47" s="60">
        <v>15</v>
      </c>
      <c r="C47" s="60">
        <v>1</v>
      </c>
      <c r="D47" s="61" t="s">
        <v>314</v>
      </c>
      <c r="E47" s="62"/>
      <c r="F47" s="62"/>
      <c r="G47" s="62"/>
      <c r="H47" s="62"/>
      <c r="I47" s="62"/>
      <c r="J47" s="61" t="s">
        <v>315</v>
      </c>
      <c r="K47" s="60" t="s">
        <v>316</v>
      </c>
      <c r="L47" s="62" t="s">
        <v>317</v>
      </c>
      <c r="M47" s="63">
        <v>2904</v>
      </c>
      <c r="N47" s="73" t="s">
        <v>316</v>
      </c>
      <c r="O47" s="73"/>
      <c r="P47" s="73"/>
      <c r="Q47" s="73"/>
      <c r="R47" s="73"/>
      <c r="S47" s="71">
        <v>4157851.06</v>
      </c>
      <c r="T47" s="74">
        <v>3819.55</v>
      </c>
      <c r="U47" s="74">
        <v>692085.48</v>
      </c>
      <c r="V47" s="74">
        <f>SUM(LIST_LOCATIONDETAILS334[[#This Row],[Building]:[BI]])</f>
        <v>4853756.09</v>
      </c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0" t="s">
        <v>269</v>
      </c>
      <c r="AQ47" s="62"/>
      <c r="AR47" s="62"/>
      <c r="AS47" s="60" t="s">
        <v>282</v>
      </c>
      <c r="AT47" s="60">
        <v>1979</v>
      </c>
      <c r="AU47" s="62"/>
      <c r="AV47" s="63"/>
      <c r="AW47" s="63"/>
      <c r="AX47" s="62"/>
      <c r="AY47" s="62"/>
      <c r="AZ47" s="60">
        <v>1</v>
      </c>
      <c r="BA47" s="60">
        <v>10194</v>
      </c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2"/>
      <c r="CB47" s="62"/>
      <c r="CC47" s="62"/>
      <c r="CD47" s="62"/>
      <c r="CE47" s="62"/>
      <c r="CF47" s="62"/>
      <c r="CG47" s="62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  <c r="EA47" s="62"/>
      <c r="EB47" s="62"/>
      <c r="EC47" s="62"/>
      <c r="ED47" s="62"/>
      <c r="EE47" s="62"/>
      <c r="EF47" s="62"/>
      <c r="EG47" s="62"/>
      <c r="EH47" s="62"/>
      <c r="EI47" s="62"/>
      <c r="EJ47" s="62"/>
      <c r="EK47" s="62"/>
      <c r="EL47" s="62"/>
      <c r="EM47" s="62"/>
      <c r="EN47" s="62"/>
      <c r="EO47" s="62"/>
      <c r="EP47" s="62"/>
      <c r="EQ47" s="62"/>
      <c r="ER47" s="62"/>
      <c r="ES47" s="62"/>
      <c r="ET47" s="62"/>
      <c r="EU47" s="62"/>
      <c r="EV47" s="62"/>
      <c r="EW47" s="62"/>
      <c r="EX47" s="62"/>
      <c r="EY47" s="62"/>
      <c r="EZ47" s="62"/>
      <c r="FA47" s="62"/>
      <c r="FB47" s="62"/>
      <c r="FC47" s="62"/>
      <c r="FD47" s="62"/>
      <c r="FE47" s="62"/>
      <c r="FF47" s="62"/>
      <c r="FG47" s="62"/>
      <c r="FH47" s="62"/>
      <c r="FI47" s="62"/>
      <c r="FJ47" s="67"/>
      <c r="FK47" s="67"/>
      <c r="FL47" s="67"/>
      <c r="FM47" s="67"/>
      <c r="FN47" s="67"/>
      <c r="FO47" s="67"/>
      <c r="FP47" s="67"/>
      <c r="FQ47" s="67"/>
      <c r="FR47" s="62"/>
      <c r="FS47" s="62"/>
      <c r="FT47" s="62"/>
      <c r="FU47" s="62"/>
      <c r="FV47" s="62"/>
      <c r="FW47" s="62"/>
      <c r="FX47" s="62"/>
      <c r="FY47" s="62"/>
      <c r="FZ47" s="62"/>
      <c r="GA47" s="62"/>
      <c r="GB47" s="62"/>
      <c r="GC47" s="62"/>
      <c r="GD47" s="62"/>
      <c r="GE47" s="62"/>
      <c r="GF47" s="63"/>
      <c r="GG47" s="63"/>
      <c r="GH47" s="62"/>
      <c r="GI47" s="62"/>
      <c r="GJ47" s="62"/>
      <c r="GK47" s="62"/>
      <c r="GL47" s="62"/>
      <c r="GM47" s="62"/>
      <c r="GN47" s="62"/>
      <c r="GO47" s="62"/>
      <c r="GP47" s="62"/>
      <c r="GQ47" s="62"/>
      <c r="GR47" s="62"/>
      <c r="GS47" s="62"/>
      <c r="GT47" s="62"/>
      <c r="GU47" s="62"/>
      <c r="GV47" s="62"/>
      <c r="GW47" s="62"/>
      <c r="GX47" s="62"/>
      <c r="GY47" s="62"/>
      <c r="GZ47" s="62"/>
      <c r="HA47" s="62"/>
      <c r="HB47" s="62"/>
      <c r="HC47" s="62"/>
      <c r="HD47" s="62"/>
      <c r="HE47" s="62"/>
      <c r="HF47" s="62"/>
      <c r="HG47" s="68" t="s">
        <v>257</v>
      </c>
      <c r="HH47" s="62"/>
      <c r="HI47" s="62"/>
      <c r="HJ47" s="62">
        <v>21</v>
      </c>
      <c r="HK47" s="62">
        <v>2022</v>
      </c>
      <c r="HL47" s="62" t="s">
        <v>318</v>
      </c>
      <c r="HM47" s="62" t="s">
        <v>319</v>
      </c>
      <c r="HN47" s="62" t="s">
        <v>261</v>
      </c>
      <c r="HO47" s="62">
        <v>2022</v>
      </c>
      <c r="HP47" s="70">
        <v>1</v>
      </c>
      <c r="HQ47" s="70">
        <v>0</v>
      </c>
      <c r="HR47" s="70">
        <v>0.41</v>
      </c>
      <c r="HS47" s="70">
        <v>0</v>
      </c>
      <c r="HT47" s="70">
        <v>0.98</v>
      </c>
      <c r="HU47" s="62" t="s">
        <v>271</v>
      </c>
      <c r="HV47" s="62" t="s">
        <v>263</v>
      </c>
      <c r="HW47" s="62"/>
      <c r="HX47" s="62"/>
    </row>
    <row r="48" spans="2:232" hidden="1" x14ac:dyDescent="0.2">
      <c r="B48" s="60">
        <v>16</v>
      </c>
      <c r="C48" s="60">
        <v>1</v>
      </c>
      <c r="D48" s="61" t="s">
        <v>314</v>
      </c>
      <c r="E48" s="62"/>
      <c r="F48" s="62"/>
      <c r="G48" s="62"/>
      <c r="H48" s="62"/>
      <c r="I48" s="62"/>
      <c r="J48" s="61" t="s">
        <v>320</v>
      </c>
      <c r="K48" s="60" t="s">
        <v>316</v>
      </c>
      <c r="L48" s="62" t="s">
        <v>317</v>
      </c>
      <c r="M48" s="63">
        <v>2904</v>
      </c>
      <c r="N48" s="73" t="s">
        <v>316</v>
      </c>
      <c r="O48" s="73"/>
      <c r="P48" s="73"/>
      <c r="Q48" s="73"/>
      <c r="R48" s="73"/>
      <c r="S48" s="71">
        <v>2314675.77</v>
      </c>
      <c r="T48" s="74">
        <v>2126.34</v>
      </c>
      <c r="U48" s="74">
        <v>385284</v>
      </c>
      <c r="V48" s="74">
        <f>SUM(LIST_LOCATIONDETAILS334[[#This Row],[Building]:[BI]])</f>
        <v>2702086.11</v>
      </c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0" t="s">
        <v>269</v>
      </c>
      <c r="AQ48" s="62"/>
      <c r="AR48" s="62"/>
      <c r="AS48" s="60" t="s">
        <v>282</v>
      </c>
      <c r="AT48" s="60">
        <v>1880</v>
      </c>
      <c r="AU48" s="62"/>
      <c r="AV48" s="63"/>
      <c r="AW48" s="63"/>
      <c r="AX48" s="62"/>
      <c r="AY48" s="62"/>
      <c r="AZ48" s="60">
        <v>2</v>
      </c>
      <c r="BA48" s="60">
        <v>5675</v>
      </c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2"/>
      <c r="CB48" s="62"/>
      <c r="CC48" s="62"/>
      <c r="CD48" s="62"/>
      <c r="CE48" s="62"/>
      <c r="CF48" s="62"/>
      <c r="CG48" s="62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  <c r="EA48" s="62"/>
      <c r="EB48" s="62"/>
      <c r="EC48" s="62"/>
      <c r="ED48" s="62"/>
      <c r="EE48" s="62"/>
      <c r="EF48" s="62"/>
      <c r="EG48" s="62"/>
      <c r="EH48" s="62"/>
      <c r="EI48" s="62"/>
      <c r="EJ48" s="62"/>
      <c r="EK48" s="62"/>
      <c r="EL48" s="62"/>
      <c r="EM48" s="62"/>
      <c r="EN48" s="62"/>
      <c r="EO48" s="62"/>
      <c r="EP48" s="62"/>
      <c r="EQ48" s="62"/>
      <c r="ER48" s="62"/>
      <c r="ES48" s="62"/>
      <c r="ET48" s="62"/>
      <c r="EU48" s="62"/>
      <c r="EV48" s="62"/>
      <c r="EW48" s="62"/>
      <c r="EX48" s="62"/>
      <c r="EY48" s="62"/>
      <c r="EZ48" s="62"/>
      <c r="FA48" s="62"/>
      <c r="FB48" s="62"/>
      <c r="FC48" s="62"/>
      <c r="FD48" s="62"/>
      <c r="FE48" s="62"/>
      <c r="FF48" s="62"/>
      <c r="FG48" s="62"/>
      <c r="FH48" s="62"/>
      <c r="FI48" s="62"/>
      <c r="FJ48" s="67"/>
      <c r="FK48" s="67"/>
      <c r="FL48" s="67"/>
      <c r="FM48" s="67"/>
      <c r="FN48" s="67"/>
      <c r="FO48" s="67"/>
      <c r="FP48" s="67"/>
      <c r="FQ48" s="67"/>
      <c r="FR48" s="62"/>
      <c r="FS48" s="62"/>
      <c r="FT48" s="62"/>
      <c r="FU48" s="62"/>
      <c r="FV48" s="62"/>
      <c r="FW48" s="62"/>
      <c r="FX48" s="62"/>
      <c r="FY48" s="62"/>
      <c r="FZ48" s="62"/>
      <c r="GA48" s="62"/>
      <c r="GB48" s="62"/>
      <c r="GC48" s="62"/>
      <c r="GD48" s="62"/>
      <c r="GE48" s="62"/>
      <c r="GF48" s="63"/>
      <c r="GG48" s="63"/>
      <c r="GH48" s="62"/>
      <c r="GI48" s="62"/>
      <c r="GJ48" s="62"/>
      <c r="GK48" s="62"/>
      <c r="GL48" s="62"/>
      <c r="GM48" s="62"/>
      <c r="GN48" s="62"/>
      <c r="GO48" s="62"/>
      <c r="GP48" s="62"/>
      <c r="GQ48" s="62"/>
      <c r="GR48" s="62"/>
      <c r="GS48" s="62"/>
      <c r="GT48" s="62"/>
      <c r="GU48" s="62"/>
      <c r="GV48" s="62"/>
      <c r="GW48" s="62"/>
      <c r="GX48" s="62"/>
      <c r="GY48" s="62"/>
      <c r="GZ48" s="62"/>
      <c r="HA48" s="62"/>
      <c r="HB48" s="62"/>
      <c r="HC48" s="62"/>
      <c r="HD48" s="62"/>
      <c r="HE48" s="62"/>
      <c r="HF48" s="62"/>
      <c r="HG48" s="68" t="s">
        <v>257</v>
      </c>
      <c r="HH48" s="62"/>
      <c r="HI48" s="62"/>
      <c r="HJ48" s="62">
        <v>12</v>
      </c>
      <c r="HK48" s="62">
        <v>2022</v>
      </c>
      <c r="HL48" s="62" t="s">
        <v>318</v>
      </c>
      <c r="HM48" s="62" t="s">
        <v>319</v>
      </c>
      <c r="HN48" s="62" t="s">
        <v>261</v>
      </c>
      <c r="HO48" s="62">
        <v>2022</v>
      </c>
      <c r="HP48" s="70">
        <v>1</v>
      </c>
      <c r="HQ48" s="70">
        <v>0</v>
      </c>
      <c r="HR48" s="70">
        <v>0.41</v>
      </c>
      <c r="HS48" s="70">
        <v>0</v>
      </c>
      <c r="HT48" s="70">
        <v>0.98</v>
      </c>
      <c r="HU48" s="62" t="s">
        <v>271</v>
      </c>
      <c r="HV48" s="62" t="s">
        <v>263</v>
      </c>
      <c r="HW48" s="62"/>
      <c r="HX48" s="62"/>
    </row>
    <row r="49" spans="2:232" hidden="1" x14ac:dyDescent="0.2">
      <c r="B49" s="60">
        <v>16</v>
      </c>
      <c r="C49" s="60">
        <v>2</v>
      </c>
      <c r="D49" s="61" t="s">
        <v>314</v>
      </c>
      <c r="E49" s="62"/>
      <c r="F49" s="62"/>
      <c r="G49" s="62"/>
      <c r="H49" s="62"/>
      <c r="I49" s="62"/>
      <c r="J49" s="61" t="s">
        <v>320</v>
      </c>
      <c r="K49" s="60" t="s">
        <v>316</v>
      </c>
      <c r="L49" s="62" t="s">
        <v>317</v>
      </c>
      <c r="M49" s="63">
        <v>2904</v>
      </c>
      <c r="N49" s="73" t="s">
        <v>316</v>
      </c>
      <c r="O49" s="73"/>
      <c r="P49" s="73"/>
      <c r="Q49" s="73"/>
      <c r="R49" s="73"/>
      <c r="S49" s="71">
        <v>2314675.77</v>
      </c>
      <c r="T49" s="74">
        <v>2126.34</v>
      </c>
      <c r="U49" s="74">
        <v>385284</v>
      </c>
      <c r="V49" s="74">
        <f>SUM(LIST_LOCATIONDETAILS334[[#This Row],[Building]:[BI]])</f>
        <v>2702086.11</v>
      </c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0" t="s">
        <v>269</v>
      </c>
      <c r="AQ49" s="62"/>
      <c r="AR49" s="62"/>
      <c r="AS49" s="60" t="s">
        <v>282</v>
      </c>
      <c r="AT49" s="60">
        <v>1880</v>
      </c>
      <c r="AU49" s="62"/>
      <c r="AV49" s="63"/>
      <c r="AW49" s="63"/>
      <c r="AX49" s="62"/>
      <c r="AY49" s="62"/>
      <c r="AZ49" s="60">
        <v>2</v>
      </c>
      <c r="BA49" s="60">
        <v>5675</v>
      </c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2"/>
      <c r="CB49" s="62"/>
      <c r="CC49" s="62"/>
      <c r="CD49" s="62"/>
      <c r="CE49" s="62"/>
      <c r="CF49" s="62"/>
      <c r="CG49" s="62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  <c r="EA49" s="62"/>
      <c r="EB49" s="62"/>
      <c r="EC49" s="62"/>
      <c r="ED49" s="62"/>
      <c r="EE49" s="62"/>
      <c r="EF49" s="62"/>
      <c r="EG49" s="62"/>
      <c r="EH49" s="62"/>
      <c r="EI49" s="62"/>
      <c r="EJ49" s="62"/>
      <c r="EK49" s="62"/>
      <c r="EL49" s="62"/>
      <c r="EM49" s="62"/>
      <c r="EN49" s="62"/>
      <c r="EO49" s="62"/>
      <c r="EP49" s="62"/>
      <c r="EQ49" s="62"/>
      <c r="ER49" s="62"/>
      <c r="ES49" s="62"/>
      <c r="ET49" s="62"/>
      <c r="EU49" s="62"/>
      <c r="EV49" s="62"/>
      <c r="EW49" s="62"/>
      <c r="EX49" s="62"/>
      <c r="EY49" s="62"/>
      <c r="EZ49" s="62"/>
      <c r="FA49" s="62"/>
      <c r="FB49" s="62"/>
      <c r="FC49" s="62"/>
      <c r="FD49" s="62"/>
      <c r="FE49" s="62"/>
      <c r="FF49" s="62"/>
      <c r="FG49" s="62"/>
      <c r="FH49" s="62"/>
      <c r="FI49" s="62"/>
      <c r="FJ49" s="67"/>
      <c r="FK49" s="67"/>
      <c r="FL49" s="67"/>
      <c r="FM49" s="67"/>
      <c r="FN49" s="67"/>
      <c r="FO49" s="67"/>
      <c r="FP49" s="67"/>
      <c r="FQ49" s="67"/>
      <c r="FR49" s="62"/>
      <c r="FS49" s="62"/>
      <c r="FT49" s="62"/>
      <c r="FU49" s="62"/>
      <c r="FV49" s="62"/>
      <c r="FW49" s="62"/>
      <c r="FX49" s="62"/>
      <c r="FY49" s="62"/>
      <c r="FZ49" s="62"/>
      <c r="GA49" s="62"/>
      <c r="GB49" s="62"/>
      <c r="GC49" s="62"/>
      <c r="GD49" s="62"/>
      <c r="GE49" s="62"/>
      <c r="GF49" s="63"/>
      <c r="GG49" s="63"/>
      <c r="GH49" s="62"/>
      <c r="GI49" s="62"/>
      <c r="GJ49" s="62"/>
      <c r="GK49" s="62"/>
      <c r="GL49" s="62"/>
      <c r="GM49" s="62"/>
      <c r="GN49" s="62"/>
      <c r="GO49" s="62"/>
      <c r="GP49" s="62"/>
      <c r="GQ49" s="62"/>
      <c r="GR49" s="62"/>
      <c r="GS49" s="62"/>
      <c r="GT49" s="62"/>
      <c r="GU49" s="62"/>
      <c r="GV49" s="62"/>
      <c r="GW49" s="62"/>
      <c r="GX49" s="62"/>
      <c r="GY49" s="62"/>
      <c r="GZ49" s="62"/>
      <c r="HA49" s="62"/>
      <c r="HB49" s="62"/>
      <c r="HC49" s="62"/>
      <c r="HD49" s="62"/>
      <c r="HE49" s="62"/>
      <c r="HF49" s="62"/>
      <c r="HG49" s="68" t="s">
        <v>257</v>
      </c>
      <c r="HH49" s="62"/>
      <c r="HI49" s="62"/>
      <c r="HJ49" s="62">
        <v>12</v>
      </c>
      <c r="HK49" s="62">
        <v>2022</v>
      </c>
      <c r="HL49" s="62" t="s">
        <v>318</v>
      </c>
      <c r="HM49" s="62" t="s">
        <v>319</v>
      </c>
      <c r="HN49" s="62" t="s">
        <v>261</v>
      </c>
      <c r="HO49" s="62">
        <v>2022</v>
      </c>
      <c r="HP49" s="70">
        <v>1</v>
      </c>
      <c r="HQ49" s="70">
        <v>0</v>
      </c>
      <c r="HR49" s="70">
        <v>0.41</v>
      </c>
      <c r="HS49" s="70">
        <v>0</v>
      </c>
      <c r="HT49" s="70">
        <v>0.98</v>
      </c>
      <c r="HU49" s="62" t="s">
        <v>271</v>
      </c>
      <c r="HV49" s="62" t="s">
        <v>263</v>
      </c>
      <c r="HW49" s="62"/>
      <c r="HX49" s="62"/>
    </row>
    <row r="50" spans="2:232" hidden="1" x14ac:dyDescent="0.2">
      <c r="B50" s="60">
        <v>17</v>
      </c>
      <c r="C50" s="60">
        <v>1</v>
      </c>
      <c r="D50" s="61" t="s">
        <v>314</v>
      </c>
      <c r="E50" s="62"/>
      <c r="F50" s="62"/>
      <c r="G50" s="62"/>
      <c r="H50" s="62"/>
      <c r="I50" s="62"/>
      <c r="J50" s="61" t="s">
        <v>321</v>
      </c>
      <c r="K50" s="60" t="s">
        <v>316</v>
      </c>
      <c r="L50" s="62" t="s">
        <v>317</v>
      </c>
      <c r="M50" s="63">
        <v>2904</v>
      </c>
      <c r="N50" s="73" t="s">
        <v>316</v>
      </c>
      <c r="O50" s="73"/>
      <c r="P50" s="73"/>
      <c r="Q50" s="73"/>
      <c r="R50" s="73"/>
      <c r="S50" s="71">
        <v>2098503.4</v>
      </c>
      <c r="T50" s="74">
        <v>1927.76</v>
      </c>
      <c r="U50" s="74">
        <v>349301.53</v>
      </c>
      <c r="V50" s="74">
        <f>SUM(LIST_LOCATIONDETAILS334[[#This Row],[Building]:[BI]])</f>
        <v>2449732.6899999995</v>
      </c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0" t="s">
        <v>269</v>
      </c>
      <c r="AQ50" s="62"/>
      <c r="AR50" s="62"/>
      <c r="AS50" s="60" t="s">
        <v>282</v>
      </c>
      <c r="AT50" s="60">
        <v>1968</v>
      </c>
      <c r="AU50" s="62"/>
      <c r="AV50" s="63"/>
      <c r="AW50" s="63"/>
      <c r="AX50" s="62"/>
      <c r="AY50" s="62"/>
      <c r="AZ50" s="60">
        <v>3</v>
      </c>
      <c r="BA50" s="60">
        <v>5145</v>
      </c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2"/>
      <c r="CB50" s="62"/>
      <c r="CC50" s="62"/>
      <c r="CD50" s="62"/>
      <c r="CE50" s="62"/>
      <c r="CF50" s="62"/>
      <c r="CG50" s="62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  <c r="EA50" s="62"/>
      <c r="EB50" s="62"/>
      <c r="EC50" s="62"/>
      <c r="ED50" s="62"/>
      <c r="EE50" s="62"/>
      <c r="EF50" s="62"/>
      <c r="EG50" s="62"/>
      <c r="EH50" s="62"/>
      <c r="EI50" s="62"/>
      <c r="EJ50" s="62"/>
      <c r="EK50" s="62"/>
      <c r="EL50" s="62"/>
      <c r="EM50" s="62"/>
      <c r="EN50" s="62"/>
      <c r="EO50" s="62"/>
      <c r="EP50" s="62"/>
      <c r="EQ50" s="62"/>
      <c r="ER50" s="62"/>
      <c r="ES50" s="62"/>
      <c r="ET50" s="62"/>
      <c r="EU50" s="62"/>
      <c r="EV50" s="62"/>
      <c r="EW50" s="62"/>
      <c r="EX50" s="62"/>
      <c r="EY50" s="62"/>
      <c r="EZ50" s="62"/>
      <c r="FA50" s="62"/>
      <c r="FB50" s="62"/>
      <c r="FC50" s="62"/>
      <c r="FD50" s="62"/>
      <c r="FE50" s="62"/>
      <c r="FF50" s="62"/>
      <c r="FG50" s="62"/>
      <c r="FH50" s="62"/>
      <c r="FI50" s="62"/>
      <c r="FJ50" s="67"/>
      <c r="FK50" s="67"/>
      <c r="FL50" s="67"/>
      <c r="FM50" s="67"/>
      <c r="FN50" s="67"/>
      <c r="FO50" s="67"/>
      <c r="FP50" s="67"/>
      <c r="FQ50" s="67"/>
      <c r="FR50" s="62"/>
      <c r="FS50" s="62"/>
      <c r="FT50" s="62"/>
      <c r="FU50" s="62"/>
      <c r="FV50" s="62"/>
      <c r="FW50" s="62"/>
      <c r="FX50" s="62"/>
      <c r="FY50" s="62"/>
      <c r="FZ50" s="62"/>
      <c r="GA50" s="62"/>
      <c r="GB50" s="62"/>
      <c r="GC50" s="62"/>
      <c r="GD50" s="62"/>
      <c r="GE50" s="62"/>
      <c r="GF50" s="63"/>
      <c r="GG50" s="63"/>
      <c r="GH50" s="62"/>
      <c r="GI50" s="62"/>
      <c r="GJ50" s="62"/>
      <c r="GK50" s="62"/>
      <c r="GL50" s="62"/>
      <c r="GM50" s="62"/>
      <c r="GN50" s="62"/>
      <c r="GO50" s="62"/>
      <c r="GP50" s="62"/>
      <c r="GQ50" s="62"/>
      <c r="GR50" s="62"/>
      <c r="GS50" s="62"/>
      <c r="GT50" s="62"/>
      <c r="GU50" s="62"/>
      <c r="GV50" s="62"/>
      <c r="GW50" s="62"/>
      <c r="GX50" s="62"/>
      <c r="GY50" s="62"/>
      <c r="GZ50" s="62"/>
      <c r="HA50" s="62"/>
      <c r="HB50" s="62"/>
      <c r="HC50" s="62"/>
      <c r="HD50" s="62"/>
      <c r="HE50" s="62"/>
      <c r="HF50" s="62"/>
      <c r="HG50" s="68" t="s">
        <v>257</v>
      </c>
      <c r="HH50" s="62"/>
      <c r="HI50" s="62"/>
      <c r="HJ50" s="62">
        <v>6</v>
      </c>
      <c r="HK50" s="62">
        <v>2022</v>
      </c>
      <c r="HL50" s="62" t="s">
        <v>318</v>
      </c>
      <c r="HM50" s="62" t="s">
        <v>319</v>
      </c>
      <c r="HN50" s="62" t="s">
        <v>261</v>
      </c>
      <c r="HO50" s="62">
        <v>2022</v>
      </c>
      <c r="HP50" s="70">
        <v>1</v>
      </c>
      <c r="HQ50" s="70">
        <v>0</v>
      </c>
      <c r="HR50" s="70">
        <v>0.41</v>
      </c>
      <c r="HS50" s="70">
        <v>0</v>
      </c>
      <c r="HT50" s="70">
        <v>0.98</v>
      </c>
      <c r="HU50" s="62" t="s">
        <v>271</v>
      </c>
      <c r="HV50" s="62" t="s">
        <v>263</v>
      </c>
      <c r="HW50" s="62"/>
      <c r="HX50" s="62"/>
    </row>
    <row r="51" spans="2:232" hidden="1" x14ac:dyDescent="0.2">
      <c r="B51" s="60">
        <v>18</v>
      </c>
      <c r="C51" s="60"/>
      <c r="D51" s="61" t="s">
        <v>322</v>
      </c>
      <c r="E51" s="62"/>
      <c r="F51" s="62"/>
      <c r="G51" s="62"/>
      <c r="H51" s="62"/>
      <c r="I51" s="62"/>
      <c r="J51" s="61" t="s">
        <v>323</v>
      </c>
      <c r="K51" s="60" t="s">
        <v>316</v>
      </c>
      <c r="L51" s="62" t="s">
        <v>317</v>
      </c>
      <c r="M51" s="63">
        <v>2904</v>
      </c>
      <c r="N51" s="73" t="s">
        <v>316</v>
      </c>
      <c r="O51" s="73"/>
      <c r="P51" s="73"/>
      <c r="Q51" s="73"/>
      <c r="R51" s="73"/>
      <c r="S51" s="71">
        <v>1024777</v>
      </c>
      <c r="T51" s="74" t="s">
        <v>254</v>
      </c>
      <c r="U51" s="74" t="s">
        <v>324</v>
      </c>
      <c r="V51" s="74">
        <f>SUM(LIST_LOCATIONDETAILS334[[#This Row],[Building]:[BI]])</f>
        <v>1024777</v>
      </c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0" t="s">
        <v>269</v>
      </c>
      <c r="AQ51" s="62"/>
      <c r="AR51" s="62"/>
      <c r="AS51" s="60" t="s">
        <v>282</v>
      </c>
      <c r="AT51" s="60">
        <v>1972</v>
      </c>
      <c r="AU51" s="62"/>
      <c r="AV51" s="63"/>
      <c r="AW51" s="63"/>
      <c r="AX51" s="62"/>
      <c r="AY51" s="62"/>
      <c r="AZ51" s="60">
        <v>2</v>
      </c>
      <c r="BA51" s="60">
        <v>6282</v>
      </c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2"/>
      <c r="CB51" s="62"/>
      <c r="CC51" s="62"/>
      <c r="CD51" s="62"/>
      <c r="CE51" s="62"/>
      <c r="CF51" s="62"/>
      <c r="CG51" s="62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  <c r="EA51" s="62"/>
      <c r="EB51" s="62"/>
      <c r="EC51" s="62"/>
      <c r="ED51" s="62"/>
      <c r="EE51" s="62"/>
      <c r="EF51" s="62"/>
      <c r="EG51" s="62"/>
      <c r="EH51" s="62"/>
      <c r="EI51" s="62"/>
      <c r="EJ51" s="62"/>
      <c r="EK51" s="62"/>
      <c r="EL51" s="62"/>
      <c r="EM51" s="62"/>
      <c r="EN51" s="62"/>
      <c r="EO51" s="62"/>
      <c r="EP51" s="62"/>
      <c r="EQ51" s="62"/>
      <c r="ER51" s="62"/>
      <c r="ES51" s="62"/>
      <c r="ET51" s="62"/>
      <c r="EU51" s="62"/>
      <c r="EV51" s="62"/>
      <c r="EW51" s="62"/>
      <c r="EX51" s="62"/>
      <c r="EY51" s="62"/>
      <c r="EZ51" s="62"/>
      <c r="FA51" s="62"/>
      <c r="FB51" s="62"/>
      <c r="FC51" s="62"/>
      <c r="FD51" s="62"/>
      <c r="FE51" s="62"/>
      <c r="FF51" s="62"/>
      <c r="FG51" s="62"/>
      <c r="FH51" s="62"/>
      <c r="FI51" s="62"/>
      <c r="FJ51" s="67"/>
      <c r="FK51" s="67"/>
      <c r="FL51" s="67"/>
      <c r="FM51" s="67"/>
      <c r="FN51" s="67"/>
      <c r="FO51" s="67"/>
      <c r="FP51" s="67"/>
      <c r="FQ51" s="67"/>
      <c r="FR51" s="62"/>
      <c r="FS51" s="62"/>
      <c r="FT51" s="62"/>
      <c r="FU51" s="62"/>
      <c r="FV51" s="62"/>
      <c r="FW51" s="62"/>
      <c r="FX51" s="62"/>
      <c r="FY51" s="62"/>
      <c r="FZ51" s="62"/>
      <c r="GA51" s="62"/>
      <c r="GB51" s="62"/>
      <c r="GC51" s="62"/>
      <c r="GD51" s="62"/>
      <c r="GE51" s="62"/>
      <c r="GF51" s="63"/>
      <c r="GG51" s="63"/>
      <c r="GH51" s="62"/>
      <c r="GI51" s="62"/>
      <c r="GJ51" s="62"/>
      <c r="GK51" s="62"/>
      <c r="GL51" s="62"/>
      <c r="GM51" s="62"/>
      <c r="GN51" s="62"/>
      <c r="GO51" s="62"/>
      <c r="GP51" s="62"/>
      <c r="GQ51" s="62"/>
      <c r="GR51" s="62"/>
      <c r="GS51" s="62"/>
      <c r="GT51" s="62"/>
      <c r="GU51" s="62"/>
      <c r="GV51" s="62"/>
      <c r="GW51" s="62"/>
      <c r="GX51" s="62"/>
      <c r="GY51" s="62"/>
      <c r="GZ51" s="62"/>
      <c r="HA51" s="62"/>
      <c r="HB51" s="62"/>
      <c r="HC51" s="62"/>
      <c r="HD51" s="62"/>
      <c r="HE51" s="62"/>
      <c r="HF51" s="62"/>
      <c r="HG51" s="68" t="s">
        <v>257</v>
      </c>
      <c r="HH51" s="62"/>
      <c r="HI51" s="62"/>
      <c r="HJ51" s="62">
        <v>5</v>
      </c>
      <c r="HK51" s="62">
        <v>2022</v>
      </c>
      <c r="HL51" s="62" t="s">
        <v>270</v>
      </c>
      <c r="HM51" s="62" t="s">
        <v>325</v>
      </c>
      <c r="HN51" s="62">
        <v>2022</v>
      </c>
      <c r="HO51" s="62">
        <v>2022</v>
      </c>
      <c r="HP51" s="70">
        <v>1</v>
      </c>
      <c r="HQ51" s="70">
        <v>0</v>
      </c>
      <c r="HR51" s="70">
        <v>0</v>
      </c>
      <c r="HS51" s="70">
        <v>0</v>
      </c>
      <c r="HT51" s="70">
        <v>0.95</v>
      </c>
      <c r="HU51" s="62" t="s">
        <v>271</v>
      </c>
      <c r="HV51" s="62" t="s">
        <v>263</v>
      </c>
      <c r="HW51" s="62"/>
      <c r="HX51" s="62"/>
    </row>
    <row r="52" spans="2:232" hidden="1" x14ac:dyDescent="0.2">
      <c r="B52" s="60">
        <v>18</v>
      </c>
      <c r="C52" s="60"/>
      <c r="D52" s="61" t="s">
        <v>322</v>
      </c>
      <c r="E52" s="62"/>
      <c r="F52" s="62"/>
      <c r="G52" s="62"/>
      <c r="H52" s="62"/>
      <c r="I52" s="62"/>
      <c r="J52" s="61" t="s">
        <v>323</v>
      </c>
      <c r="K52" s="60" t="s">
        <v>316</v>
      </c>
      <c r="L52" s="62" t="s">
        <v>317</v>
      </c>
      <c r="M52" s="63">
        <v>2904</v>
      </c>
      <c r="N52" s="73" t="s">
        <v>316</v>
      </c>
      <c r="O52" s="73"/>
      <c r="P52" s="73"/>
      <c r="Q52" s="73"/>
      <c r="R52" s="73"/>
      <c r="S52" s="71">
        <v>1024777</v>
      </c>
      <c r="T52" s="74" t="s">
        <v>254</v>
      </c>
      <c r="U52" s="74" t="s">
        <v>324</v>
      </c>
      <c r="V52" s="74">
        <f>SUM(LIST_LOCATIONDETAILS334[[#This Row],[Building]:[BI]])</f>
        <v>1024777</v>
      </c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0" t="s">
        <v>269</v>
      </c>
      <c r="AQ52" s="62"/>
      <c r="AR52" s="62"/>
      <c r="AS52" s="60" t="s">
        <v>282</v>
      </c>
      <c r="AT52" s="60">
        <v>1972</v>
      </c>
      <c r="AU52" s="62"/>
      <c r="AV52" s="63"/>
      <c r="AW52" s="63"/>
      <c r="AX52" s="62"/>
      <c r="AY52" s="62"/>
      <c r="AZ52" s="60">
        <v>2</v>
      </c>
      <c r="BA52" s="60">
        <v>6282</v>
      </c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2"/>
      <c r="CB52" s="62"/>
      <c r="CC52" s="62"/>
      <c r="CD52" s="62"/>
      <c r="CE52" s="62"/>
      <c r="CF52" s="62"/>
      <c r="CG52" s="62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  <c r="EA52" s="62"/>
      <c r="EB52" s="62"/>
      <c r="EC52" s="62"/>
      <c r="ED52" s="62"/>
      <c r="EE52" s="62"/>
      <c r="EF52" s="62"/>
      <c r="EG52" s="62"/>
      <c r="EH52" s="62"/>
      <c r="EI52" s="62"/>
      <c r="EJ52" s="62"/>
      <c r="EK52" s="62"/>
      <c r="EL52" s="62"/>
      <c r="EM52" s="62"/>
      <c r="EN52" s="62"/>
      <c r="EO52" s="62"/>
      <c r="EP52" s="62"/>
      <c r="EQ52" s="62"/>
      <c r="ER52" s="62"/>
      <c r="ES52" s="62"/>
      <c r="ET52" s="62"/>
      <c r="EU52" s="62"/>
      <c r="EV52" s="62"/>
      <c r="EW52" s="62"/>
      <c r="EX52" s="62"/>
      <c r="EY52" s="62"/>
      <c r="EZ52" s="62"/>
      <c r="FA52" s="62"/>
      <c r="FB52" s="62"/>
      <c r="FC52" s="62"/>
      <c r="FD52" s="62"/>
      <c r="FE52" s="62"/>
      <c r="FF52" s="62"/>
      <c r="FG52" s="62"/>
      <c r="FH52" s="62"/>
      <c r="FI52" s="62"/>
      <c r="FJ52" s="67"/>
      <c r="FK52" s="67"/>
      <c r="FL52" s="67"/>
      <c r="FM52" s="67"/>
      <c r="FN52" s="67"/>
      <c r="FO52" s="67"/>
      <c r="FP52" s="67"/>
      <c r="FQ52" s="67"/>
      <c r="FR52" s="62"/>
      <c r="FS52" s="62"/>
      <c r="FT52" s="62"/>
      <c r="FU52" s="62"/>
      <c r="FV52" s="62"/>
      <c r="FW52" s="62"/>
      <c r="FX52" s="62"/>
      <c r="FY52" s="62"/>
      <c r="FZ52" s="62"/>
      <c r="GA52" s="62"/>
      <c r="GB52" s="62"/>
      <c r="GC52" s="62"/>
      <c r="GD52" s="62"/>
      <c r="GE52" s="62"/>
      <c r="GF52" s="63"/>
      <c r="GG52" s="63"/>
      <c r="GH52" s="62"/>
      <c r="GI52" s="62"/>
      <c r="GJ52" s="62"/>
      <c r="GK52" s="62"/>
      <c r="GL52" s="62"/>
      <c r="GM52" s="62"/>
      <c r="GN52" s="62"/>
      <c r="GO52" s="62"/>
      <c r="GP52" s="62"/>
      <c r="GQ52" s="62"/>
      <c r="GR52" s="62"/>
      <c r="GS52" s="62"/>
      <c r="GT52" s="62"/>
      <c r="GU52" s="62"/>
      <c r="GV52" s="62"/>
      <c r="GW52" s="62"/>
      <c r="GX52" s="62"/>
      <c r="GY52" s="62"/>
      <c r="GZ52" s="62"/>
      <c r="HA52" s="62"/>
      <c r="HB52" s="62"/>
      <c r="HC52" s="62"/>
      <c r="HD52" s="62"/>
      <c r="HE52" s="62"/>
      <c r="HF52" s="62"/>
      <c r="HG52" s="68" t="s">
        <v>257</v>
      </c>
      <c r="HH52" s="62"/>
      <c r="HI52" s="62"/>
      <c r="HJ52" s="62">
        <v>5</v>
      </c>
      <c r="HK52" s="62">
        <v>2022</v>
      </c>
      <c r="HL52" s="62" t="s">
        <v>270</v>
      </c>
      <c r="HM52" s="62" t="s">
        <v>325</v>
      </c>
      <c r="HN52" s="62">
        <v>2022</v>
      </c>
      <c r="HO52" s="62">
        <v>2022</v>
      </c>
      <c r="HP52" s="70">
        <v>1</v>
      </c>
      <c r="HQ52" s="70">
        <v>0</v>
      </c>
      <c r="HR52" s="70">
        <v>0</v>
      </c>
      <c r="HS52" s="70">
        <v>0</v>
      </c>
      <c r="HT52" s="70">
        <v>0.95</v>
      </c>
      <c r="HU52" s="62" t="s">
        <v>271</v>
      </c>
      <c r="HV52" s="62" t="s">
        <v>263</v>
      </c>
      <c r="HW52" s="62"/>
      <c r="HX52" s="62"/>
    </row>
    <row r="53" spans="2:232" hidden="1" x14ac:dyDescent="0.2">
      <c r="B53" s="60">
        <v>18</v>
      </c>
      <c r="C53" s="60"/>
      <c r="D53" s="61" t="s">
        <v>322</v>
      </c>
      <c r="E53" s="62"/>
      <c r="F53" s="62"/>
      <c r="G53" s="62"/>
      <c r="H53" s="62"/>
      <c r="I53" s="62"/>
      <c r="J53" s="61" t="s">
        <v>323</v>
      </c>
      <c r="K53" s="60" t="s">
        <v>316</v>
      </c>
      <c r="L53" s="62" t="s">
        <v>317</v>
      </c>
      <c r="M53" s="63">
        <v>2904</v>
      </c>
      <c r="N53" s="73" t="s">
        <v>316</v>
      </c>
      <c r="O53" s="73"/>
      <c r="P53" s="73"/>
      <c r="Q53" s="73"/>
      <c r="R53" s="73"/>
      <c r="S53" s="71">
        <v>1024777</v>
      </c>
      <c r="T53" s="74" t="s">
        <v>254</v>
      </c>
      <c r="U53" s="74" t="s">
        <v>324</v>
      </c>
      <c r="V53" s="74">
        <f>SUM(LIST_LOCATIONDETAILS334[[#This Row],[Building]:[BI]])</f>
        <v>1024777</v>
      </c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0" t="s">
        <v>269</v>
      </c>
      <c r="AQ53" s="62"/>
      <c r="AR53" s="62"/>
      <c r="AS53" s="60" t="s">
        <v>282</v>
      </c>
      <c r="AT53" s="60">
        <v>1972</v>
      </c>
      <c r="AU53" s="62"/>
      <c r="AV53" s="63"/>
      <c r="AW53" s="63"/>
      <c r="AX53" s="62"/>
      <c r="AY53" s="62"/>
      <c r="AZ53" s="60">
        <v>2</v>
      </c>
      <c r="BA53" s="60">
        <v>6282</v>
      </c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2"/>
      <c r="CB53" s="62"/>
      <c r="CC53" s="62"/>
      <c r="CD53" s="62"/>
      <c r="CE53" s="62"/>
      <c r="CF53" s="62"/>
      <c r="CG53" s="62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  <c r="EA53" s="62"/>
      <c r="EB53" s="62"/>
      <c r="EC53" s="62"/>
      <c r="ED53" s="62"/>
      <c r="EE53" s="62"/>
      <c r="EF53" s="62"/>
      <c r="EG53" s="62"/>
      <c r="EH53" s="62"/>
      <c r="EI53" s="62"/>
      <c r="EJ53" s="62"/>
      <c r="EK53" s="62"/>
      <c r="EL53" s="62"/>
      <c r="EM53" s="62"/>
      <c r="EN53" s="62"/>
      <c r="EO53" s="62"/>
      <c r="EP53" s="62"/>
      <c r="EQ53" s="62"/>
      <c r="ER53" s="62"/>
      <c r="ES53" s="62"/>
      <c r="ET53" s="62"/>
      <c r="EU53" s="62"/>
      <c r="EV53" s="62"/>
      <c r="EW53" s="62"/>
      <c r="EX53" s="62"/>
      <c r="EY53" s="62"/>
      <c r="EZ53" s="62"/>
      <c r="FA53" s="62"/>
      <c r="FB53" s="62"/>
      <c r="FC53" s="62"/>
      <c r="FD53" s="62"/>
      <c r="FE53" s="62"/>
      <c r="FF53" s="62"/>
      <c r="FG53" s="62"/>
      <c r="FH53" s="62"/>
      <c r="FI53" s="62"/>
      <c r="FJ53" s="67"/>
      <c r="FK53" s="67"/>
      <c r="FL53" s="67"/>
      <c r="FM53" s="67"/>
      <c r="FN53" s="67"/>
      <c r="FO53" s="67"/>
      <c r="FP53" s="67"/>
      <c r="FQ53" s="67"/>
      <c r="FR53" s="62"/>
      <c r="FS53" s="62"/>
      <c r="FT53" s="62"/>
      <c r="FU53" s="62"/>
      <c r="FV53" s="62"/>
      <c r="FW53" s="62"/>
      <c r="FX53" s="62"/>
      <c r="FY53" s="62"/>
      <c r="FZ53" s="62"/>
      <c r="GA53" s="62"/>
      <c r="GB53" s="62"/>
      <c r="GC53" s="62"/>
      <c r="GD53" s="62"/>
      <c r="GE53" s="62"/>
      <c r="GF53" s="63"/>
      <c r="GG53" s="63"/>
      <c r="GH53" s="62"/>
      <c r="GI53" s="62"/>
      <c r="GJ53" s="62"/>
      <c r="GK53" s="62"/>
      <c r="GL53" s="62"/>
      <c r="GM53" s="62"/>
      <c r="GN53" s="62"/>
      <c r="GO53" s="62"/>
      <c r="GP53" s="62"/>
      <c r="GQ53" s="62"/>
      <c r="GR53" s="62"/>
      <c r="GS53" s="62"/>
      <c r="GT53" s="62"/>
      <c r="GU53" s="62"/>
      <c r="GV53" s="62"/>
      <c r="GW53" s="62"/>
      <c r="GX53" s="62"/>
      <c r="GY53" s="62"/>
      <c r="GZ53" s="62"/>
      <c r="HA53" s="62"/>
      <c r="HB53" s="62"/>
      <c r="HC53" s="62"/>
      <c r="HD53" s="62"/>
      <c r="HE53" s="62"/>
      <c r="HF53" s="62"/>
      <c r="HG53" s="68" t="s">
        <v>257</v>
      </c>
      <c r="HH53" s="62"/>
      <c r="HI53" s="62"/>
      <c r="HJ53" s="62">
        <v>5</v>
      </c>
      <c r="HK53" s="62">
        <v>2022</v>
      </c>
      <c r="HL53" s="62" t="s">
        <v>270</v>
      </c>
      <c r="HM53" s="62" t="s">
        <v>325</v>
      </c>
      <c r="HN53" s="62">
        <v>2022</v>
      </c>
      <c r="HO53" s="62">
        <v>2022</v>
      </c>
      <c r="HP53" s="70">
        <v>1</v>
      </c>
      <c r="HQ53" s="70">
        <v>0</v>
      </c>
      <c r="HR53" s="70">
        <v>0</v>
      </c>
      <c r="HS53" s="70">
        <v>0</v>
      </c>
      <c r="HT53" s="70">
        <v>0.95</v>
      </c>
      <c r="HU53" s="62" t="s">
        <v>271</v>
      </c>
      <c r="HV53" s="62" t="s">
        <v>263</v>
      </c>
      <c r="HW53" s="62"/>
      <c r="HX53" s="62"/>
    </row>
    <row r="54" spans="2:232" hidden="1" x14ac:dyDescent="0.2">
      <c r="B54" s="60">
        <v>18</v>
      </c>
      <c r="C54" s="60"/>
      <c r="D54" s="61" t="s">
        <v>322</v>
      </c>
      <c r="E54" s="62"/>
      <c r="F54" s="62"/>
      <c r="G54" s="62"/>
      <c r="H54" s="62"/>
      <c r="I54" s="62"/>
      <c r="J54" s="61" t="s">
        <v>323</v>
      </c>
      <c r="K54" s="60" t="s">
        <v>316</v>
      </c>
      <c r="L54" s="62" t="s">
        <v>317</v>
      </c>
      <c r="M54" s="63">
        <v>2904</v>
      </c>
      <c r="N54" s="73" t="s">
        <v>316</v>
      </c>
      <c r="O54" s="73"/>
      <c r="P54" s="73"/>
      <c r="Q54" s="73"/>
      <c r="R54" s="73"/>
      <c r="S54" s="71">
        <v>1024777</v>
      </c>
      <c r="T54" s="74" t="s">
        <v>254</v>
      </c>
      <c r="U54" s="74" t="s">
        <v>324</v>
      </c>
      <c r="V54" s="74">
        <f>SUM(LIST_LOCATIONDETAILS334[[#This Row],[Building]:[BI]])</f>
        <v>1024777</v>
      </c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0" t="s">
        <v>269</v>
      </c>
      <c r="AQ54" s="62"/>
      <c r="AR54" s="62"/>
      <c r="AS54" s="60" t="s">
        <v>282</v>
      </c>
      <c r="AT54" s="60">
        <v>1972</v>
      </c>
      <c r="AU54" s="62"/>
      <c r="AV54" s="63"/>
      <c r="AW54" s="63"/>
      <c r="AX54" s="62"/>
      <c r="AY54" s="62"/>
      <c r="AZ54" s="60">
        <v>2</v>
      </c>
      <c r="BA54" s="60">
        <v>6282</v>
      </c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2"/>
      <c r="CB54" s="62"/>
      <c r="CC54" s="62"/>
      <c r="CD54" s="62"/>
      <c r="CE54" s="62"/>
      <c r="CF54" s="62"/>
      <c r="CG54" s="62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  <c r="EA54" s="62"/>
      <c r="EB54" s="62"/>
      <c r="EC54" s="62"/>
      <c r="ED54" s="62"/>
      <c r="EE54" s="62"/>
      <c r="EF54" s="62"/>
      <c r="EG54" s="62"/>
      <c r="EH54" s="62"/>
      <c r="EI54" s="62"/>
      <c r="EJ54" s="62"/>
      <c r="EK54" s="62"/>
      <c r="EL54" s="62"/>
      <c r="EM54" s="62"/>
      <c r="EN54" s="62"/>
      <c r="EO54" s="62"/>
      <c r="EP54" s="62"/>
      <c r="EQ54" s="62"/>
      <c r="ER54" s="62"/>
      <c r="ES54" s="62"/>
      <c r="ET54" s="62"/>
      <c r="EU54" s="62"/>
      <c r="EV54" s="62"/>
      <c r="EW54" s="62"/>
      <c r="EX54" s="62"/>
      <c r="EY54" s="62"/>
      <c r="EZ54" s="62"/>
      <c r="FA54" s="62"/>
      <c r="FB54" s="62"/>
      <c r="FC54" s="62"/>
      <c r="FD54" s="62"/>
      <c r="FE54" s="62"/>
      <c r="FF54" s="62"/>
      <c r="FG54" s="62"/>
      <c r="FH54" s="62"/>
      <c r="FI54" s="62"/>
      <c r="FJ54" s="67"/>
      <c r="FK54" s="67"/>
      <c r="FL54" s="67"/>
      <c r="FM54" s="67"/>
      <c r="FN54" s="67"/>
      <c r="FO54" s="67"/>
      <c r="FP54" s="67"/>
      <c r="FQ54" s="67"/>
      <c r="FR54" s="62"/>
      <c r="FS54" s="62"/>
      <c r="FT54" s="62"/>
      <c r="FU54" s="62"/>
      <c r="FV54" s="62"/>
      <c r="FW54" s="62"/>
      <c r="FX54" s="62"/>
      <c r="FY54" s="62"/>
      <c r="FZ54" s="62"/>
      <c r="GA54" s="62"/>
      <c r="GB54" s="62"/>
      <c r="GC54" s="62"/>
      <c r="GD54" s="62"/>
      <c r="GE54" s="62"/>
      <c r="GF54" s="63"/>
      <c r="GG54" s="63"/>
      <c r="GH54" s="62"/>
      <c r="GI54" s="62"/>
      <c r="GJ54" s="62"/>
      <c r="GK54" s="62"/>
      <c r="GL54" s="62"/>
      <c r="GM54" s="62"/>
      <c r="GN54" s="62"/>
      <c r="GO54" s="62"/>
      <c r="GP54" s="62"/>
      <c r="GQ54" s="62"/>
      <c r="GR54" s="62"/>
      <c r="GS54" s="62"/>
      <c r="GT54" s="62"/>
      <c r="GU54" s="62"/>
      <c r="GV54" s="62"/>
      <c r="GW54" s="62"/>
      <c r="GX54" s="62"/>
      <c r="GY54" s="62"/>
      <c r="GZ54" s="62"/>
      <c r="HA54" s="62"/>
      <c r="HB54" s="62"/>
      <c r="HC54" s="62"/>
      <c r="HD54" s="62"/>
      <c r="HE54" s="62"/>
      <c r="HF54" s="62"/>
      <c r="HG54" s="68" t="s">
        <v>257</v>
      </c>
      <c r="HH54" s="62"/>
      <c r="HI54" s="62"/>
      <c r="HJ54" s="62">
        <v>5</v>
      </c>
      <c r="HK54" s="62">
        <v>2022</v>
      </c>
      <c r="HL54" s="62" t="s">
        <v>270</v>
      </c>
      <c r="HM54" s="62" t="s">
        <v>325</v>
      </c>
      <c r="HN54" s="62">
        <v>2022</v>
      </c>
      <c r="HO54" s="62">
        <v>2022</v>
      </c>
      <c r="HP54" s="70">
        <v>1</v>
      </c>
      <c r="HQ54" s="70">
        <v>0</v>
      </c>
      <c r="HR54" s="70">
        <v>0</v>
      </c>
      <c r="HS54" s="70">
        <v>0</v>
      </c>
      <c r="HT54" s="70">
        <v>0.95</v>
      </c>
      <c r="HU54" s="62" t="s">
        <v>271</v>
      </c>
      <c r="HV54" s="62" t="s">
        <v>263</v>
      </c>
      <c r="HW54" s="62"/>
      <c r="HX54" s="62"/>
    </row>
    <row r="55" spans="2:232" hidden="1" x14ac:dyDescent="0.2">
      <c r="B55" s="60">
        <v>18</v>
      </c>
      <c r="C55" s="60"/>
      <c r="D55" s="61" t="s">
        <v>322</v>
      </c>
      <c r="E55" s="62"/>
      <c r="F55" s="62"/>
      <c r="G55" s="62"/>
      <c r="H55" s="62"/>
      <c r="I55" s="62"/>
      <c r="J55" s="61" t="s">
        <v>323</v>
      </c>
      <c r="K55" s="60" t="s">
        <v>316</v>
      </c>
      <c r="L55" s="62" t="s">
        <v>317</v>
      </c>
      <c r="M55" s="63">
        <v>2904</v>
      </c>
      <c r="N55" s="73" t="s">
        <v>316</v>
      </c>
      <c r="O55" s="73"/>
      <c r="P55" s="73"/>
      <c r="Q55" s="73"/>
      <c r="R55" s="73"/>
      <c r="S55" s="71">
        <v>1024777</v>
      </c>
      <c r="T55" s="74" t="s">
        <v>254</v>
      </c>
      <c r="U55" s="74" t="s">
        <v>324</v>
      </c>
      <c r="V55" s="74">
        <f>SUM(LIST_LOCATIONDETAILS334[[#This Row],[Building]:[BI]])</f>
        <v>1024777</v>
      </c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0" t="s">
        <v>269</v>
      </c>
      <c r="AQ55" s="62"/>
      <c r="AR55" s="62"/>
      <c r="AS55" s="60" t="s">
        <v>282</v>
      </c>
      <c r="AT55" s="60">
        <v>1972</v>
      </c>
      <c r="AU55" s="62"/>
      <c r="AV55" s="63"/>
      <c r="AW55" s="63"/>
      <c r="AX55" s="62"/>
      <c r="AY55" s="62"/>
      <c r="AZ55" s="60">
        <v>2</v>
      </c>
      <c r="BA55" s="60">
        <v>6282</v>
      </c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2"/>
      <c r="CB55" s="62"/>
      <c r="CC55" s="62"/>
      <c r="CD55" s="62"/>
      <c r="CE55" s="62"/>
      <c r="CF55" s="62"/>
      <c r="CG55" s="62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  <c r="EA55" s="62"/>
      <c r="EB55" s="62"/>
      <c r="EC55" s="62"/>
      <c r="ED55" s="62"/>
      <c r="EE55" s="62"/>
      <c r="EF55" s="62"/>
      <c r="EG55" s="62"/>
      <c r="EH55" s="62"/>
      <c r="EI55" s="62"/>
      <c r="EJ55" s="62"/>
      <c r="EK55" s="62"/>
      <c r="EL55" s="62"/>
      <c r="EM55" s="62"/>
      <c r="EN55" s="62"/>
      <c r="EO55" s="62"/>
      <c r="EP55" s="62"/>
      <c r="EQ55" s="62"/>
      <c r="ER55" s="62"/>
      <c r="ES55" s="62"/>
      <c r="ET55" s="62"/>
      <c r="EU55" s="62"/>
      <c r="EV55" s="62"/>
      <c r="EW55" s="62"/>
      <c r="EX55" s="62"/>
      <c r="EY55" s="62"/>
      <c r="EZ55" s="62"/>
      <c r="FA55" s="62"/>
      <c r="FB55" s="62"/>
      <c r="FC55" s="62"/>
      <c r="FD55" s="62"/>
      <c r="FE55" s="62"/>
      <c r="FF55" s="62"/>
      <c r="FG55" s="62"/>
      <c r="FH55" s="62"/>
      <c r="FI55" s="62"/>
      <c r="FJ55" s="67"/>
      <c r="FK55" s="67"/>
      <c r="FL55" s="67"/>
      <c r="FM55" s="67"/>
      <c r="FN55" s="67"/>
      <c r="FO55" s="67"/>
      <c r="FP55" s="67"/>
      <c r="FQ55" s="67"/>
      <c r="FR55" s="62"/>
      <c r="FS55" s="62"/>
      <c r="FT55" s="62"/>
      <c r="FU55" s="62"/>
      <c r="FV55" s="62"/>
      <c r="FW55" s="62"/>
      <c r="FX55" s="62"/>
      <c r="FY55" s="62"/>
      <c r="FZ55" s="62"/>
      <c r="GA55" s="62"/>
      <c r="GB55" s="62"/>
      <c r="GC55" s="62"/>
      <c r="GD55" s="62"/>
      <c r="GE55" s="62"/>
      <c r="GF55" s="63"/>
      <c r="GG55" s="63"/>
      <c r="GH55" s="62"/>
      <c r="GI55" s="62"/>
      <c r="GJ55" s="62"/>
      <c r="GK55" s="62"/>
      <c r="GL55" s="62"/>
      <c r="GM55" s="62"/>
      <c r="GN55" s="62"/>
      <c r="GO55" s="62"/>
      <c r="GP55" s="62"/>
      <c r="GQ55" s="62"/>
      <c r="GR55" s="62"/>
      <c r="GS55" s="62"/>
      <c r="GT55" s="62"/>
      <c r="GU55" s="62"/>
      <c r="GV55" s="62"/>
      <c r="GW55" s="62"/>
      <c r="GX55" s="62"/>
      <c r="GY55" s="62"/>
      <c r="GZ55" s="62"/>
      <c r="HA55" s="62"/>
      <c r="HB55" s="62"/>
      <c r="HC55" s="62"/>
      <c r="HD55" s="62"/>
      <c r="HE55" s="62"/>
      <c r="HF55" s="62"/>
      <c r="HG55" s="68" t="s">
        <v>257</v>
      </c>
      <c r="HH55" s="62"/>
      <c r="HI55" s="62"/>
      <c r="HJ55" s="62">
        <v>5</v>
      </c>
      <c r="HK55" s="62">
        <v>2022</v>
      </c>
      <c r="HL55" s="62" t="s">
        <v>270</v>
      </c>
      <c r="HM55" s="62" t="s">
        <v>325</v>
      </c>
      <c r="HN55" s="62">
        <v>2022</v>
      </c>
      <c r="HO55" s="62">
        <v>2022</v>
      </c>
      <c r="HP55" s="70">
        <v>1</v>
      </c>
      <c r="HQ55" s="70">
        <v>0</v>
      </c>
      <c r="HR55" s="70">
        <v>0</v>
      </c>
      <c r="HS55" s="70">
        <v>0</v>
      </c>
      <c r="HT55" s="70">
        <v>0.95</v>
      </c>
      <c r="HU55" s="62" t="s">
        <v>271</v>
      </c>
      <c r="HV55" s="62" t="s">
        <v>263</v>
      </c>
      <c r="HW55" s="62"/>
      <c r="HX55" s="62"/>
    </row>
    <row r="56" spans="2:232" hidden="1" x14ac:dyDescent="0.2">
      <c r="B56" s="60">
        <v>18</v>
      </c>
      <c r="C56" s="60"/>
      <c r="D56" s="61" t="s">
        <v>322</v>
      </c>
      <c r="E56" s="62"/>
      <c r="F56" s="62"/>
      <c r="G56" s="62"/>
      <c r="H56" s="62"/>
      <c r="I56" s="62"/>
      <c r="J56" s="61" t="s">
        <v>323</v>
      </c>
      <c r="K56" s="60" t="s">
        <v>316</v>
      </c>
      <c r="L56" s="62" t="s">
        <v>317</v>
      </c>
      <c r="M56" s="63">
        <v>2904</v>
      </c>
      <c r="N56" s="73" t="s">
        <v>316</v>
      </c>
      <c r="O56" s="73"/>
      <c r="P56" s="73"/>
      <c r="Q56" s="73"/>
      <c r="R56" s="73"/>
      <c r="S56" s="71">
        <v>1024777</v>
      </c>
      <c r="T56" s="74" t="s">
        <v>254</v>
      </c>
      <c r="U56" s="74" t="s">
        <v>324</v>
      </c>
      <c r="V56" s="74">
        <f>SUM(LIST_LOCATIONDETAILS334[[#This Row],[Building]:[BI]])</f>
        <v>1024777</v>
      </c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0" t="s">
        <v>269</v>
      </c>
      <c r="AQ56" s="62"/>
      <c r="AR56" s="62"/>
      <c r="AS56" s="60" t="s">
        <v>282</v>
      </c>
      <c r="AT56" s="60">
        <v>1972</v>
      </c>
      <c r="AU56" s="62"/>
      <c r="AV56" s="63"/>
      <c r="AW56" s="63"/>
      <c r="AX56" s="62"/>
      <c r="AY56" s="62"/>
      <c r="AZ56" s="60">
        <v>2</v>
      </c>
      <c r="BA56" s="60">
        <v>6282</v>
      </c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2"/>
      <c r="CB56" s="62"/>
      <c r="CC56" s="62"/>
      <c r="CD56" s="62"/>
      <c r="CE56" s="62"/>
      <c r="CF56" s="62"/>
      <c r="CG56" s="62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  <c r="EA56" s="62"/>
      <c r="EB56" s="62"/>
      <c r="EC56" s="62"/>
      <c r="ED56" s="62"/>
      <c r="EE56" s="62"/>
      <c r="EF56" s="62"/>
      <c r="EG56" s="62"/>
      <c r="EH56" s="62"/>
      <c r="EI56" s="62"/>
      <c r="EJ56" s="62"/>
      <c r="EK56" s="62"/>
      <c r="EL56" s="62"/>
      <c r="EM56" s="62"/>
      <c r="EN56" s="62"/>
      <c r="EO56" s="62"/>
      <c r="EP56" s="62"/>
      <c r="EQ56" s="62"/>
      <c r="ER56" s="62"/>
      <c r="ES56" s="62"/>
      <c r="ET56" s="62"/>
      <c r="EU56" s="62"/>
      <c r="EV56" s="62"/>
      <c r="EW56" s="62"/>
      <c r="EX56" s="62"/>
      <c r="EY56" s="62"/>
      <c r="EZ56" s="62"/>
      <c r="FA56" s="62"/>
      <c r="FB56" s="62"/>
      <c r="FC56" s="62"/>
      <c r="FD56" s="62"/>
      <c r="FE56" s="62"/>
      <c r="FF56" s="62"/>
      <c r="FG56" s="62"/>
      <c r="FH56" s="62"/>
      <c r="FI56" s="62"/>
      <c r="FJ56" s="67"/>
      <c r="FK56" s="67"/>
      <c r="FL56" s="67"/>
      <c r="FM56" s="67"/>
      <c r="FN56" s="67"/>
      <c r="FO56" s="67"/>
      <c r="FP56" s="67"/>
      <c r="FQ56" s="67"/>
      <c r="FR56" s="62"/>
      <c r="FS56" s="62"/>
      <c r="FT56" s="62"/>
      <c r="FU56" s="62"/>
      <c r="FV56" s="62"/>
      <c r="FW56" s="62"/>
      <c r="FX56" s="62"/>
      <c r="FY56" s="62"/>
      <c r="FZ56" s="62"/>
      <c r="GA56" s="62"/>
      <c r="GB56" s="62"/>
      <c r="GC56" s="62"/>
      <c r="GD56" s="62"/>
      <c r="GE56" s="62"/>
      <c r="GF56" s="63"/>
      <c r="GG56" s="63"/>
      <c r="GH56" s="62"/>
      <c r="GI56" s="62"/>
      <c r="GJ56" s="62"/>
      <c r="GK56" s="62"/>
      <c r="GL56" s="62"/>
      <c r="GM56" s="62"/>
      <c r="GN56" s="62"/>
      <c r="GO56" s="62"/>
      <c r="GP56" s="62"/>
      <c r="GQ56" s="62"/>
      <c r="GR56" s="62"/>
      <c r="GS56" s="62"/>
      <c r="GT56" s="62"/>
      <c r="GU56" s="62"/>
      <c r="GV56" s="62"/>
      <c r="GW56" s="62"/>
      <c r="GX56" s="62"/>
      <c r="GY56" s="62"/>
      <c r="GZ56" s="62"/>
      <c r="HA56" s="62"/>
      <c r="HB56" s="62"/>
      <c r="HC56" s="62"/>
      <c r="HD56" s="62"/>
      <c r="HE56" s="62"/>
      <c r="HF56" s="62"/>
      <c r="HG56" s="68" t="s">
        <v>257</v>
      </c>
      <c r="HH56" s="62"/>
      <c r="HI56" s="62"/>
      <c r="HJ56" s="62">
        <v>5</v>
      </c>
      <c r="HK56" s="62">
        <v>2022</v>
      </c>
      <c r="HL56" s="62" t="s">
        <v>270</v>
      </c>
      <c r="HM56" s="62" t="s">
        <v>325</v>
      </c>
      <c r="HN56" s="62">
        <v>2022</v>
      </c>
      <c r="HO56" s="62">
        <v>2022</v>
      </c>
      <c r="HP56" s="70">
        <v>1</v>
      </c>
      <c r="HQ56" s="70">
        <v>0</v>
      </c>
      <c r="HR56" s="70">
        <v>0</v>
      </c>
      <c r="HS56" s="70">
        <v>0</v>
      </c>
      <c r="HT56" s="70">
        <v>0.95</v>
      </c>
      <c r="HU56" s="62" t="s">
        <v>271</v>
      </c>
      <c r="HV56" s="62" t="s">
        <v>263</v>
      </c>
      <c r="HW56" s="62"/>
      <c r="HX56" s="62"/>
    </row>
    <row r="57" spans="2:232" hidden="1" x14ac:dyDescent="0.2">
      <c r="B57" s="60">
        <v>18</v>
      </c>
      <c r="C57" s="60"/>
      <c r="D57" s="61" t="s">
        <v>322</v>
      </c>
      <c r="E57" s="62"/>
      <c r="F57" s="62"/>
      <c r="G57" s="62"/>
      <c r="H57" s="62"/>
      <c r="I57" s="62"/>
      <c r="J57" s="61" t="s">
        <v>323</v>
      </c>
      <c r="K57" s="60" t="s">
        <v>316</v>
      </c>
      <c r="L57" s="62" t="s">
        <v>317</v>
      </c>
      <c r="M57" s="63">
        <v>2904</v>
      </c>
      <c r="N57" s="73" t="s">
        <v>316</v>
      </c>
      <c r="O57" s="73"/>
      <c r="P57" s="73"/>
      <c r="Q57" s="73"/>
      <c r="R57" s="73"/>
      <c r="S57" s="71">
        <v>1024777</v>
      </c>
      <c r="T57" s="74" t="s">
        <v>254</v>
      </c>
      <c r="U57" s="74" t="s">
        <v>324</v>
      </c>
      <c r="V57" s="74">
        <f>SUM(LIST_LOCATIONDETAILS334[[#This Row],[Building]:[BI]])</f>
        <v>1024777</v>
      </c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0" t="s">
        <v>269</v>
      </c>
      <c r="AQ57" s="62"/>
      <c r="AR57" s="62"/>
      <c r="AS57" s="60" t="s">
        <v>282</v>
      </c>
      <c r="AT57" s="60">
        <v>1972</v>
      </c>
      <c r="AU57" s="62"/>
      <c r="AV57" s="63"/>
      <c r="AW57" s="63"/>
      <c r="AX57" s="62"/>
      <c r="AY57" s="62"/>
      <c r="AZ57" s="60">
        <v>2</v>
      </c>
      <c r="BA57" s="60">
        <v>6282</v>
      </c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2"/>
      <c r="CB57" s="62"/>
      <c r="CC57" s="62"/>
      <c r="CD57" s="62"/>
      <c r="CE57" s="62"/>
      <c r="CF57" s="62"/>
      <c r="CG57" s="62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  <c r="EA57" s="62"/>
      <c r="EB57" s="62"/>
      <c r="EC57" s="62"/>
      <c r="ED57" s="62"/>
      <c r="EE57" s="62"/>
      <c r="EF57" s="62"/>
      <c r="EG57" s="62"/>
      <c r="EH57" s="62"/>
      <c r="EI57" s="62"/>
      <c r="EJ57" s="62"/>
      <c r="EK57" s="62"/>
      <c r="EL57" s="62"/>
      <c r="EM57" s="62"/>
      <c r="EN57" s="62"/>
      <c r="EO57" s="62"/>
      <c r="EP57" s="62"/>
      <c r="EQ57" s="62"/>
      <c r="ER57" s="62"/>
      <c r="ES57" s="62"/>
      <c r="ET57" s="62"/>
      <c r="EU57" s="62"/>
      <c r="EV57" s="62"/>
      <c r="EW57" s="62"/>
      <c r="EX57" s="62"/>
      <c r="EY57" s="62"/>
      <c r="EZ57" s="62"/>
      <c r="FA57" s="62"/>
      <c r="FB57" s="62"/>
      <c r="FC57" s="62"/>
      <c r="FD57" s="62"/>
      <c r="FE57" s="62"/>
      <c r="FF57" s="62"/>
      <c r="FG57" s="62"/>
      <c r="FH57" s="62"/>
      <c r="FI57" s="62"/>
      <c r="FJ57" s="67"/>
      <c r="FK57" s="67"/>
      <c r="FL57" s="67"/>
      <c r="FM57" s="67"/>
      <c r="FN57" s="67"/>
      <c r="FO57" s="67"/>
      <c r="FP57" s="67"/>
      <c r="FQ57" s="67"/>
      <c r="FR57" s="62"/>
      <c r="FS57" s="62"/>
      <c r="FT57" s="62"/>
      <c r="FU57" s="62"/>
      <c r="FV57" s="62"/>
      <c r="FW57" s="62"/>
      <c r="FX57" s="62"/>
      <c r="FY57" s="62"/>
      <c r="FZ57" s="62"/>
      <c r="GA57" s="62"/>
      <c r="GB57" s="62"/>
      <c r="GC57" s="62"/>
      <c r="GD57" s="62"/>
      <c r="GE57" s="62"/>
      <c r="GF57" s="63"/>
      <c r="GG57" s="63"/>
      <c r="GH57" s="62"/>
      <c r="GI57" s="62"/>
      <c r="GJ57" s="62"/>
      <c r="GK57" s="62"/>
      <c r="GL57" s="62"/>
      <c r="GM57" s="62"/>
      <c r="GN57" s="62"/>
      <c r="GO57" s="62"/>
      <c r="GP57" s="62"/>
      <c r="GQ57" s="62"/>
      <c r="GR57" s="62"/>
      <c r="GS57" s="62"/>
      <c r="GT57" s="62"/>
      <c r="GU57" s="62"/>
      <c r="GV57" s="62"/>
      <c r="GW57" s="62"/>
      <c r="GX57" s="62"/>
      <c r="GY57" s="62"/>
      <c r="GZ57" s="62"/>
      <c r="HA57" s="62"/>
      <c r="HB57" s="62"/>
      <c r="HC57" s="62"/>
      <c r="HD57" s="62"/>
      <c r="HE57" s="62"/>
      <c r="HF57" s="62"/>
      <c r="HG57" s="68" t="s">
        <v>257</v>
      </c>
      <c r="HH57" s="62"/>
      <c r="HI57" s="62"/>
      <c r="HJ57" s="62">
        <v>5</v>
      </c>
      <c r="HK57" s="62">
        <v>2022</v>
      </c>
      <c r="HL57" s="62" t="s">
        <v>270</v>
      </c>
      <c r="HM57" s="62" t="s">
        <v>325</v>
      </c>
      <c r="HN57" s="62">
        <v>2022</v>
      </c>
      <c r="HO57" s="62">
        <v>2022</v>
      </c>
      <c r="HP57" s="70">
        <v>1</v>
      </c>
      <c r="HQ57" s="70">
        <v>0</v>
      </c>
      <c r="HR57" s="70">
        <v>0</v>
      </c>
      <c r="HS57" s="70">
        <v>0</v>
      </c>
      <c r="HT57" s="70">
        <v>0.95</v>
      </c>
      <c r="HU57" s="62" t="s">
        <v>271</v>
      </c>
      <c r="HV57" s="62" t="s">
        <v>263</v>
      </c>
      <c r="HW57" s="62"/>
      <c r="HX57" s="62"/>
    </row>
    <row r="58" spans="2:232" hidden="1" x14ac:dyDescent="0.2">
      <c r="B58" s="60">
        <v>19</v>
      </c>
      <c r="C58" s="60">
        <v>1</v>
      </c>
      <c r="D58" s="61" t="s">
        <v>326</v>
      </c>
      <c r="E58" s="62"/>
      <c r="F58" s="62"/>
      <c r="G58" s="62"/>
      <c r="H58" s="62"/>
      <c r="I58" s="62"/>
      <c r="J58" s="61" t="s">
        <v>327</v>
      </c>
      <c r="K58" s="60" t="s">
        <v>326</v>
      </c>
      <c r="L58" s="62" t="s">
        <v>328</v>
      </c>
      <c r="M58" s="63">
        <v>3301</v>
      </c>
      <c r="N58" s="73" t="s">
        <v>329</v>
      </c>
      <c r="O58" s="73"/>
      <c r="P58" s="73"/>
      <c r="Q58" s="73"/>
      <c r="R58" s="73"/>
      <c r="S58" s="71">
        <v>1221108.33</v>
      </c>
      <c r="T58" s="74" t="s">
        <v>254</v>
      </c>
      <c r="U58" s="74">
        <v>183183</v>
      </c>
      <c r="V58" s="74">
        <f>SUM(LIST_LOCATIONDETAILS334[[#This Row],[Building]:[BI]])</f>
        <v>1404291.33</v>
      </c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0" t="s">
        <v>269</v>
      </c>
      <c r="AQ58" s="62"/>
      <c r="AR58" s="62"/>
      <c r="AS58" s="60" t="s">
        <v>330</v>
      </c>
      <c r="AT58" s="60">
        <v>1970</v>
      </c>
      <c r="AU58" s="62"/>
      <c r="AV58" s="63"/>
      <c r="AW58" s="63"/>
      <c r="AX58" s="62"/>
      <c r="AY58" s="62"/>
      <c r="AZ58" s="60">
        <v>2</v>
      </c>
      <c r="BA58" s="60">
        <v>9366</v>
      </c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2"/>
      <c r="CB58" s="62"/>
      <c r="CC58" s="62"/>
      <c r="CD58" s="62"/>
      <c r="CE58" s="62"/>
      <c r="CF58" s="62"/>
      <c r="CG58" s="62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  <c r="EA58" s="62"/>
      <c r="EB58" s="62"/>
      <c r="EC58" s="62"/>
      <c r="ED58" s="62"/>
      <c r="EE58" s="62"/>
      <c r="EF58" s="62"/>
      <c r="EG58" s="62"/>
      <c r="EH58" s="62"/>
      <c r="EI58" s="62"/>
      <c r="EJ58" s="62"/>
      <c r="EK58" s="62"/>
      <c r="EL58" s="62"/>
      <c r="EM58" s="62"/>
      <c r="EN58" s="62"/>
      <c r="EO58" s="62"/>
      <c r="EP58" s="62"/>
      <c r="EQ58" s="62"/>
      <c r="ER58" s="62"/>
      <c r="ES58" s="62"/>
      <c r="ET58" s="62"/>
      <c r="EU58" s="62"/>
      <c r="EV58" s="62"/>
      <c r="EW58" s="62"/>
      <c r="EX58" s="62"/>
      <c r="EY58" s="62"/>
      <c r="EZ58" s="62"/>
      <c r="FA58" s="62"/>
      <c r="FB58" s="62"/>
      <c r="FC58" s="62"/>
      <c r="FD58" s="62"/>
      <c r="FE58" s="62"/>
      <c r="FF58" s="62"/>
      <c r="FG58" s="62"/>
      <c r="FH58" s="62"/>
      <c r="FI58" s="62"/>
      <c r="FJ58" s="67"/>
      <c r="FK58" s="67"/>
      <c r="FL58" s="67"/>
      <c r="FM58" s="67"/>
      <c r="FN58" s="67"/>
      <c r="FO58" s="67"/>
      <c r="FP58" s="67"/>
      <c r="FQ58" s="67"/>
      <c r="FR58" s="62"/>
      <c r="FS58" s="62"/>
      <c r="FT58" s="62"/>
      <c r="FU58" s="62"/>
      <c r="FV58" s="62"/>
      <c r="FW58" s="62"/>
      <c r="FX58" s="62"/>
      <c r="FY58" s="62"/>
      <c r="FZ58" s="62"/>
      <c r="GA58" s="62"/>
      <c r="GB58" s="62"/>
      <c r="GC58" s="62"/>
      <c r="GD58" s="62"/>
      <c r="GE58" s="62"/>
      <c r="GF58" s="63"/>
      <c r="GG58" s="63"/>
      <c r="GH58" s="62"/>
      <c r="GI58" s="62"/>
      <c r="GJ58" s="62"/>
      <c r="GK58" s="62"/>
      <c r="GL58" s="62"/>
      <c r="GM58" s="62"/>
      <c r="GN58" s="62"/>
      <c r="GO58" s="62"/>
      <c r="GP58" s="62"/>
      <c r="GQ58" s="62"/>
      <c r="GR58" s="62"/>
      <c r="GS58" s="62"/>
      <c r="GT58" s="62"/>
      <c r="GU58" s="62"/>
      <c r="GV58" s="62"/>
      <c r="GW58" s="62"/>
      <c r="GX58" s="62"/>
      <c r="GY58" s="62"/>
      <c r="GZ58" s="62"/>
      <c r="HA58" s="62"/>
      <c r="HB58" s="62"/>
      <c r="HC58" s="62"/>
      <c r="HD58" s="62"/>
      <c r="HE58" s="62"/>
      <c r="HF58" s="62"/>
      <c r="HG58" s="68" t="s">
        <v>257</v>
      </c>
      <c r="HH58" s="62" t="s">
        <v>258</v>
      </c>
      <c r="HI58" s="62"/>
      <c r="HJ58" s="62">
        <v>10</v>
      </c>
      <c r="HK58" s="62" t="s">
        <v>331</v>
      </c>
      <c r="HL58" s="62" t="s">
        <v>332</v>
      </c>
      <c r="HM58" s="62" t="s">
        <v>331</v>
      </c>
      <c r="HN58" s="62" t="s">
        <v>331</v>
      </c>
      <c r="HO58" s="62" t="s">
        <v>331</v>
      </c>
      <c r="HP58" s="70">
        <v>0.86</v>
      </c>
      <c r="HQ58" s="70">
        <v>0</v>
      </c>
      <c r="HR58" s="70">
        <v>0</v>
      </c>
      <c r="HS58" s="70">
        <v>0</v>
      </c>
      <c r="HT58" s="70">
        <v>0.89</v>
      </c>
      <c r="HU58" s="62" t="s">
        <v>286</v>
      </c>
      <c r="HV58" s="62" t="s">
        <v>263</v>
      </c>
      <c r="HW58" s="62"/>
      <c r="HX58" s="62"/>
    </row>
    <row r="59" spans="2:232" hidden="1" x14ac:dyDescent="0.2">
      <c r="B59" s="60">
        <v>19</v>
      </c>
      <c r="C59" s="60">
        <v>2</v>
      </c>
      <c r="D59" s="61" t="s">
        <v>326</v>
      </c>
      <c r="E59" s="62"/>
      <c r="F59" s="62"/>
      <c r="G59" s="62"/>
      <c r="H59" s="62"/>
      <c r="I59" s="62"/>
      <c r="J59" s="61" t="s">
        <v>327</v>
      </c>
      <c r="K59" s="60" t="s">
        <v>326</v>
      </c>
      <c r="L59" s="62" t="s">
        <v>328</v>
      </c>
      <c r="M59" s="63">
        <v>3301</v>
      </c>
      <c r="N59" s="73" t="s">
        <v>329</v>
      </c>
      <c r="O59" s="73"/>
      <c r="P59" s="73"/>
      <c r="Q59" s="73"/>
      <c r="R59" s="73"/>
      <c r="S59" s="71">
        <v>1370650.42</v>
      </c>
      <c r="T59" s="74" t="s">
        <v>254</v>
      </c>
      <c r="U59" s="74">
        <v>205617</v>
      </c>
      <c r="V59" s="74">
        <f>SUM(LIST_LOCATIONDETAILS334[[#This Row],[Building]:[BI]])</f>
        <v>1576267.42</v>
      </c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0" t="s">
        <v>269</v>
      </c>
      <c r="AQ59" s="62"/>
      <c r="AR59" s="62"/>
      <c r="AS59" s="60" t="s">
        <v>330</v>
      </c>
      <c r="AT59" s="60">
        <v>1970</v>
      </c>
      <c r="AU59" s="62"/>
      <c r="AV59" s="63"/>
      <c r="AW59" s="63"/>
      <c r="AX59" s="62"/>
      <c r="AY59" s="62"/>
      <c r="AZ59" s="60">
        <v>2</v>
      </c>
      <c r="BA59" s="60">
        <v>10513</v>
      </c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2"/>
      <c r="CB59" s="62"/>
      <c r="CC59" s="62"/>
      <c r="CD59" s="62"/>
      <c r="CE59" s="62"/>
      <c r="CF59" s="62"/>
      <c r="CG59" s="62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  <c r="EA59" s="62"/>
      <c r="EB59" s="62"/>
      <c r="EC59" s="62"/>
      <c r="ED59" s="62"/>
      <c r="EE59" s="62"/>
      <c r="EF59" s="62"/>
      <c r="EG59" s="62"/>
      <c r="EH59" s="62"/>
      <c r="EI59" s="62"/>
      <c r="EJ59" s="62"/>
      <c r="EK59" s="62"/>
      <c r="EL59" s="62"/>
      <c r="EM59" s="62"/>
      <c r="EN59" s="62"/>
      <c r="EO59" s="62"/>
      <c r="EP59" s="62"/>
      <c r="EQ59" s="62"/>
      <c r="ER59" s="62"/>
      <c r="ES59" s="62"/>
      <c r="ET59" s="62"/>
      <c r="EU59" s="62"/>
      <c r="EV59" s="62"/>
      <c r="EW59" s="62"/>
      <c r="EX59" s="62"/>
      <c r="EY59" s="62"/>
      <c r="EZ59" s="62"/>
      <c r="FA59" s="62"/>
      <c r="FB59" s="62"/>
      <c r="FC59" s="62"/>
      <c r="FD59" s="62"/>
      <c r="FE59" s="62"/>
      <c r="FF59" s="62"/>
      <c r="FG59" s="62"/>
      <c r="FH59" s="62"/>
      <c r="FI59" s="62"/>
      <c r="FJ59" s="67"/>
      <c r="FK59" s="67"/>
      <c r="FL59" s="67"/>
      <c r="FM59" s="67"/>
      <c r="FN59" s="67"/>
      <c r="FO59" s="67"/>
      <c r="FP59" s="67"/>
      <c r="FQ59" s="67"/>
      <c r="FR59" s="62"/>
      <c r="FS59" s="62"/>
      <c r="FT59" s="62"/>
      <c r="FU59" s="62"/>
      <c r="FV59" s="62"/>
      <c r="FW59" s="62"/>
      <c r="FX59" s="62"/>
      <c r="FY59" s="62"/>
      <c r="FZ59" s="62"/>
      <c r="GA59" s="62"/>
      <c r="GB59" s="62"/>
      <c r="GC59" s="62"/>
      <c r="GD59" s="62"/>
      <c r="GE59" s="62"/>
      <c r="GF59" s="63"/>
      <c r="GG59" s="63"/>
      <c r="GH59" s="62"/>
      <c r="GI59" s="62"/>
      <c r="GJ59" s="62"/>
      <c r="GK59" s="62"/>
      <c r="GL59" s="62"/>
      <c r="GM59" s="62"/>
      <c r="GN59" s="62"/>
      <c r="GO59" s="62"/>
      <c r="GP59" s="62"/>
      <c r="GQ59" s="62"/>
      <c r="GR59" s="62"/>
      <c r="GS59" s="62"/>
      <c r="GT59" s="62"/>
      <c r="GU59" s="62"/>
      <c r="GV59" s="62"/>
      <c r="GW59" s="62"/>
      <c r="GX59" s="62"/>
      <c r="GY59" s="62"/>
      <c r="GZ59" s="62"/>
      <c r="HA59" s="62"/>
      <c r="HB59" s="62"/>
      <c r="HC59" s="62"/>
      <c r="HD59" s="62"/>
      <c r="HE59" s="62"/>
      <c r="HF59" s="62"/>
      <c r="HG59" s="68" t="s">
        <v>257</v>
      </c>
      <c r="HH59" s="62" t="s">
        <v>258</v>
      </c>
      <c r="HI59" s="62"/>
      <c r="HJ59" s="62">
        <v>12</v>
      </c>
      <c r="HK59" s="62" t="s">
        <v>331</v>
      </c>
      <c r="HL59" s="62" t="s">
        <v>332</v>
      </c>
      <c r="HM59" s="62" t="s">
        <v>331</v>
      </c>
      <c r="HN59" s="62" t="s">
        <v>331</v>
      </c>
      <c r="HO59" s="62" t="s">
        <v>331</v>
      </c>
      <c r="HP59" s="70">
        <v>0.86</v>
      </c>
      <c r="HQ59" s="70">
        <v>0</v>
      </c>
      <c r="HR59" s="70">
        <v>0</v>
      </c>
      <c r="HS59" s="70">
        <v>0</v>
      </c>
      <c r="HT59" s="70">
        <v>0.89</v>
      </c>
      <c r="HU59" s="62" t="s">
        <v>286</v>
      </c>
      <c r="HV59" s="62" t="s">
        <v>263</v>
      </c>
      <c r="HW59" s="62"/>
      <c r="HX59" s="62"/>
    </row>
    <row r="60" spans="2:232" hidden="1" x14ac:dyDescent="0.2">
      <c r="B60" s="60">
        <v>19</v>
      </c>
      <c r="C60" s="60">
        <v>3</v>
      </c>
      <c r="D60" s="61" t="s">
        <v>326</v>
      </c>
      <c r="E60" s="62"/>
      <c r="F60" s="62"/>
      <c r="G60" s="62"/>
      <c r="H60" s="62"/>
      <c r="I60" s="62"/>
      <c r="J60" s="61" t="s">
        <v>327</v>
      </c>
      <c r="K60" s="60" t="s">
        <v>326</v>
      </c>
      <c r="L60" s="62" t="s">
        <v>328</v>
      </c>
      <c r="M60" s="63">
        <v>3301</v>
      </c>
      <c r="N60" s="73" t="s">
        <v>329</v>
      </c>
      <c r="O60" s="73"/>
      <c r="P60" s="73"/>
      <c r="Q60" s="73"/>
      <c r="R60" s="73"/>
      <c r="S60" s="71">
        <v>1709499.51</v>
      </c>
      <c r="T60" s="74" t="s">
        <v>254</v>
      </c>
      <c r="U60" s="74">
        <v>256449</v>
      </c>
      <c r="V60" s="74">
        <f>SUM(LIST_LOCATIONDETAILS334[[#This Row],[Building]:[BI]])</f>
        <v>1965948.51</v>
      </c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0" t="s">
        <v>269</v>
      </c>
      <c r="AQ60" s="62"/>
      <c r="AR60" s="62"/>
      <c r="AS60" s="60" t="s">
        <v>330</v>
      </c>
      <c r="AT60" s="60">
        <v>1970</v>
      </c>
      <c r="AU60" s="62"/>
      <c r="AV60" s="63"/>
      <c r="AW60" s="63"/>
      <c r="AX60" s="62"/>
      <c r="AY60" s="62"/>
      <c r="AZ60" s="60">
        <v>2</v>
      </c>
      <c r="BA60" s="60">
        <v>13112</v>
      </c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2"/>
      <c r="CB60" s="62"/>
      <c r="CC60" s="62"/>
      <c r="CD60" s="62"/>
      <c r="CE60" s="62"/>
      <c r="CF60" s="62"/>
      <c r="CG60" s="62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  <c r="EA60" s="62"/>
      <c r="EB60" s="62"/>
      <c r="EC60" s="62"/>
      <c r="ED60" s="62"/>
      <c r="EE60" s="62"/>
      <c r="EF60" s="62"/>
      <c r="EG60" s="62"/>
      <c r="EH60" s="62"/>
      <c r="EI60" s="62"/>
      <c r="EJ60" s="62"/>
      <c r="EK60" s="62"/>
      <c r="EL60" s="62"/>
      <c r="EM60" s="62"/>
      <c r="EN60" s="62"/>
      <c r="EO60" s="62"/>
      <c r="EP60" s="62"/>
      <c r="EQ60" s="62"/>
      <c r="ER60" s="62"/>
      <c r="ES60" s="62"/>
      <c r="ET60" s="62"/>
      <c r="EU60" s="62"/>
      <c r="EV60" s="62"/>
      <c r="EW60" s="62"/>
      <c r="EX60" s="62"/>
      <c r="EY60" s="62"/>
      <c r="EZ60" s="62"/>
      <c r="FA60" s="62"/>
      <c r="FB60" s="62"/>
      <c r="FC60" s="62"/>
      <c r="FD60" s="62"/>
      <c r="FE60" s="62"/>
      <c r="FF60" s="62"/>
      <c r="FG60" s="62"/>
      <c r="FH60" s="62"/>
      <c r="FI60" s="62"/>
      <c r="FJ60" s="67"/>
      <c r="FK60" s="67"/>
      <c r="FL60" s="67"/>
      <c r="FM60" s="67"/>
      <c r="FN60" s="67"/>
      <c r="FO60" s="67"/>
      <c r="FP60" s="67"/>
      <c r="FQ60" s="67"/>
      <c r="FR60" s="62"/>
      <c r="FS60" s="62"/>
      <c r="FT60" s="62"/>
      <c r="FU60" s="62"/>
      <c r="FV60" s="62"/>
      <c r="FW60" s="62"/>
      <c r="FX60" s="62"/>
      <c r="FY60" s="62"/>
      <c r="FZ60" s="62"/>
      <c r="GA60" s="62"/>
      <c r="GB60" s="62"/>
      <c r="GC60" s="62"/>
      <c r="GD60" s="62"/>
      <c r="GE60" s="62"/>
      <c r="GF60" s="63"/>
      <c r="GG60" s="63"/>
      <c r="GH60" s="62"/>
      <c r="GI60" s="62"/>
      <c r="GJ60" s="62"/>
      <c r="GK60" s="62"/>
      <c r="GL60" s="62"/>
      <c r="GM60" s="62"/>
      <c r="GN60" s="62"/>
      <c r="GO60" s="62"/>
      <c r="GP60" s="62"/>
      <c r="GQ60" s="62"/>
      <c r="GR60" s="62"/>
      <c r="GS60" s="62"/>
      <c r="GT60" s="62"/>
      <c r="GU60" s="62"/>
      <c r="GV60" s="62"/>
      <c r="GW60" s="62"/>
      <c r="GX60" s="62"/>
      <c r="GY60" s="62"/>
      <c r="GZ60" s="62"/>
      <c r="HA60" s="62"/>
      <c r="HB60" s="62"/>
      <c r="HC60" s="62"/>
      <c r="HD60" s="62"/>
      <c r="HE60" s="62"/>
      <c r="HF60" s="62"/>
      <c r="HG60" s="68" t="s">
        <v>257</v>
      </c>
      <c r="HH60" s="62" t="s">
        <v>258</v>
      </c>
      <c r="HI60" s="62"/>
      <c r="HJ60" s="62">
        <v>14</v>
      </c>
      <c r="HK60" s="62" t="s">
        <v>331</v>
      </c>
      <c r="HL60" s="62" t="s">
        <v>332</v>
      </c>
      <c r="HM60" s="62" t="s">
        <v>331</v>
      </c>
      <c r="HN60" s="62" t="s">
        <v>331</v>
      </c>
      <c r="HO60" s="62" t="s">
        <v>331</v>
      </c>
      <c r="HP60" s="70">
        <v>0.86</v>
      </c>
      <c r="HQ60" s="70">
        <v>0</v>
      </c>
      <c r="HR60" s="70">
        <v>0</v>
      </c>
      <c r="HS60" s="70">
        <v>0</v>
      </c>
      <c r="HT60" s="70">
        <v>0.89</v>
      </c>
      <c r="HU60" s="62" t="s">
        <v>286</v>
      </c>
      <c r="HV60" s="62" t="s">
        <v>263</v>
      </c>
      <c r="HW60" s="62"/>
      <c r="HX60" s="62"/>
    </row>
    <row r="61" spans="2:232" hidden="1" x14ac:dyDescent="0.2">
      <c r="B61" s="60">
        <v>19</v>
      </c>
      <c r="C61" s="60">
        <v>4</v>
      </c>
      <c r="D61" s="61" t="s">
        <v>326</v>
      </c>
      <c r="E61" s="62"/>
      <c r="F61" s="62"/>
      <c r="G61" s="62"/>
      <c r="H61" s="62"/>
      <c r="I61" s="62"/>
      <c r="J61" s="61" t="s">
        <v>327</v>
      </c>
      <c r="K61" s="60" t="s">
        <v>326</v>
      </c>
      <c r="L61" s="62" t="s">
        <v>328</v>
      </c>
      <c r="M61" s="63">
        <v>3301</v>
      </c>
      <c r="N61" s="73" t="s">
        <v>329</v>
      </c>
      <c r="O61" s="73"/>
      <c r="P61" s="73"/>
      <c r="Q61" s="73"/>
      <c r="R61" s="73"/>
      <c r="S61" s="71">
        <v>976782.36</v>
      </c>
      <c r="T61" s="74" t="s">
        <v>254</v>
      </c>
      <c r="U61" s="74">
        <v>146531</v>
      </c>
      <c r="V61" s="74">
        <f>SUM(LIST_LOCATIONDETAILS334[[#This Row],[Building]:[BI]])</f>
        <v>1123313.3599999999</v>
      </c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0" t="s">
        <v>269</v>
      </c>
      <c r="AQ61" s="62"/>
      <c r="AR61" s="62"/>
      <c r="AS61" s="60" t="s">
        <v>330</v>
      </c>
      <c r="AT61" s="60">
        <v>1970</v>
      </c>
      <c r="AU61" s="62"/>
      <c r="AV61" s="63"/>
      <c r="AW61" s="63"/>
      <c r="AX61" s="62"/>
      <c r="AY61" s="62"/>
      <c r="AZ61" s="60">
        <v>2</v>
      </c>
      <c r="BA61" s="60">
        <v>7492</v>
      </c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2"/>
      <c r="CB61" s="62"/>
      <c r="CC61" s="62"/>
      <c r="CD61" s="62"/>
      <c r="CE61" s="62"/>
      <c r="CF61" s="62"/>
      <c r="CG61" s="62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  <c r="EA61" s="62"/>
      <c r="EB61" s="62"/>
      <c r="EC61" s="62"/>
      <c r="ED61" s="62"/>
      <c r="EE61" s="62"/>
      <c r="EF61" s="62"/>
      <c r="EG61" s="62"/>
      <c r="EH61" s="62"/>
      <c r="EI61" s="62"/>
      <c r="EJ61" s="62"/>
      <c r="EK61" s="62"/>
      <c r="EL61" s="62"/>
      <c r="EM61" s="62"/>
      <c r="EN61" s="62"/>
      <c r="EO61" s="62"/>
      <c r="EP61" s="62"/>
      <c r="EQ61" s="62"/>
      <c r="ER61" s="62"/>
      <c r="ES61" s="62"/>
      <c r="ET61" s="62"/>
      <c r="EU61" s="62"/>
      <c r="EV61" s="62"/>
      <c r="EW61" s="62"/>
      <c r="EX61" s="62"/>
      <c r="EY61" s="62"/>
      <c r="EZ61" s="62"/>
      <c r="FA61" s="62"/>
      <c r="FB61" s="62"/>
      <c r="FC61" s="62"/>
      <c r="FD61" s="62"/>
      <c r="FE61" s="62"/>
      <c r="FF61" s="62"/>
      <c r="FG61" s="62"/>
      <c r="FH61" s="62"/>
      <c r="FI61" s="62"/>
      <c r="FJ61" s="67"/>
      <c r="FK61" s="67"/>
      <c r="FL61" s="67"/>
      <c r="FM61" s="67"/>
      <c r="FN61" s="67"/>
      <c r="FO61" s="67"/>
      <c r="FP61" s="67"/>
      <c r="FQ61" s="67"/>
      <c r="FR61" s="62"/>
      <c r="FS61" s="62"/>
      <c r="FT61" s="62"/>
      <c r="FU61" s="62"/>
      <c r="FV61" s="62"/>
      <c r="FW61" s="62"/>
      <c r="FX61" s="62"/>
      <c r="FY61" s="62"/>
      <c r="FZ61" s="62"/>
      <c r="GA61" s="62"/>
      <c r="GB61" s="62"/>
      <c r="GC61" s="62"/>
      <c r="GD61" s="62"/>
      <c r="GE61" s="62"/>
      <c r="GF61" s="63"/>
      <c r="GG61" s="63"/>
      <c r="GH61" s="62"/>
      <c r="GI61" s="62"/>
      <c r="GJ61" s="62"/>
      <c r="GK61" s="62"/>
      <c r="GL61" s="62"/>
      <c r="GM61" s="62"/>
      <c r="GN61" s="62"/>
      <c r="GO61" s="62"/>
      <c r="GP61" s="62"/>
      <c r="GQ61" s="62"/>
      <c r="GR61" s="62"/>
      <c r="GS61" s="62"/>
      <c r="GT61" s="62"/>
      <c r="GU61" s="62"/>
      <c r="GV61" s="62"/>
      <c r="GW61" s="62"/>
      <c r="GX61" s="62"/>
      <c r="GY61" s="62"/>
      <c r="GZ61" s="62"/>
      <c r="HA61" s="62"/>
      <c r="HB61" s="62"/>
      <c r="HC61" s="62"/>
      <c r="HD61" s="62"/>
      <c r="HE61" s="62"/>
      <c r="HF61" s="62"/>
      <c r="HG61" s="68" t="s">
        <v>257</v>
      </c>
      <c r="HH61" s="62" t="s">
        <v>258</v>
      </c>
      <c r="HI61" s="62"/>
      <c r="HJ61" s="62">
        <v>8</v>
      </c>
      <c r="HK61" s="62" t="s">
        <v>331</v>
      </c>
      <c r="HL61" s="62" t="s">
        <v>332</v>
      </c>
      <c r="HM61" s="62" t="s">
        <v>331</v>
      </c>
      <c r="HN61" s="62" t="s">
        <v>331</v>
      </c>
      <c r="HO61" s="62" t="s">
        <v>331</v>
      </c>
      <c r="HP61" s="70">
        <v>0.86</v>
      </c>
      <c r="HQ61" s="70">
        <v>0</v>
      </c>
      <c r="HR61" s="70">
        <v>0</v>
      </c>
      <c r="HS61" s="70">
        <v>0</v>
      </c>
      <c r="HT61" s="70">
        <v>0.89</v>
      </c>
      <c r="HU61" s="62" t="s">
        <v>286</v>
      </c>
      <c r="HV61" s="62" t="s">
        <v>263</v>
      </c>
      <c r="HW61" s="62"/>
      <c r="HX61" s="62"/>
    </row>
    <row r="62" spans="2:232" hidden="1" x14ac:dyDescent="0.2">
      <c r="B62" s="60">
        <v>19</v>
      </c>
      <c r="C62" s="60">
        <v>5</v>
      </c>
      <c r="D62" s="61" t="s">
        <v>326</v>
      </c>
      <c r="E62" s="62"/>
      <c r="F62" s="62"/>
      <c r="G62" s="62"/>
      <c r="H62" s="62"/>
      <c r="I62" s="62"/>
      <c r="J62" s="61" t="s">
        <v>327</v>
      </c>
      <c r="K62" s="60" t="s">
        <v>326</v>
      </c>
      <c r="L62" s="62" t="s">
        <v>328</v>
      </c>
      <c r="M62" s="63">
        <v>3301</v>
      </c>
      <c r="N62" s="73" t="s">
        <v>329</v>
      </c>
      <c r="O62" s="73"/>
      <c r="P62" s="73"/>
      <c r="Q62" s="73"/>
      <c r="R62" s="73"/>
      <c r="S62" s="71">
        <v>1370650.42</v>
      </c>
      <c r="T62" s="74" t="s">
        <v>254</v>
      </c>
      <c r="U62" s="74">
        <v>205617</v>
      </c>
      <c r="V62" s="74">
        <f>SUM(LIST_LOCATIONDETAILS334[[#This Row],[Building]:[BI]])</f>
        <v>1576267.42</v>
      </c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0" t="s">
        <v>269</v>
      </c>
      <c r="AQ62" s="62"/>
      <c r="AR62" s="62"/>
      <c r="AS62" s="60" t="s">
        <v>330</v>
      </c>
      <c r="AT62" s="60">
        <v>1970</v>
      </c>
      <c r="AU62" s="62"/>
      <c r="AV62" s="63"/>
      <c r="AW62" s="63"/>
      <c r="AX62" s="62"/>
      <c r="AY62" s="62"/>
      <c r="AZ62" s="60">
        <v>2</v>
      </c>
      <c r="BA62" s="60">
        <v>10513</v>
      </c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2"/>
      <c r="CB62" s="62"/>
      <c r="CC62" s="62"/>
      <c r="CD62" s="62"/>
      <c r="CE62" s="62"/>
      <c r="CF62" s="62"/>
      <c r="CG62" s="62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  <c r="EA62" s="62"/>
      <c r="EB62" s="62"/>
      <c r="EC62" s="62"/>
      <c r="ED62" s="62"/>
      <c r="EE62" s="62"/>
      <c r="EF62" s="62"/>
      <c r="EG62" s="62"/>
      <c r="EH62" s="62"/>
      <c r="EI62" s="62"/>
      <c r="EJ62" s="62"/>
      <c r="EK62" s="62"/>
      <c r="EL62" s="62"/>
      <c r="EM62" s="62"/>
      <c r="EN62" s="62"/>
      <c r="EO62" s="62"/>
      <c r="EP62" s="62"/>
      <c r="EQ62" s="62"/>
      <c r="ER62" s="62"/>
      <c r="ES62" s="62"/>
      <c r="ET62" s="62"/>
      <c r="EU62" s="62"/>
      <c r="EV62" s="62"/>
      <c r="EW62" s="62"/>
      <c r="EX62" s="62"/>
      <c r="EY62" s="62"/>
      <c r="EZ62" s="62"/>
      <c r="FA62" s="62"/>
      <c r="FB62" s="62"/>
      <c r="FC62" s="62"/>
      <c r="FD62" s="62"/>
      <c r="FE62" s="62"/>
      <c r="FF62" s="62"/>
      <c r="FG62" s="62"/>
      <c r="FH62" s="62"/>
      <c r="FI62" s="62"/>
      <c r="FJ62" s="67"/>
      <c r="FK62" s="67"/>
      <c r="FL62" s="67"/>
      <c r="FM62" s="67"/>
      <c r="FN62" s="67"/>
      <c r="FO62" s="67"/>
      <c r="FP62" s="67"/>
      <c r="FQ62" s="67"/>
      <c r="FR62" s="62"/>
      <c r="FS62" s="62"/>
      <c r="FT62" s="62"/>
      <c r="FU62" s="62"/>
      <c r="FV62" s="62"/>
      <c r="FW62" s="62"/>
      <c r="FX62" s="62"/>
      <c r="FY62" s="62"/>
      <c r="FZ62" s="62"/>
      <c r="GA62" s="62"/>
      <c r="GB62" s="62"/>
      <c r="GC62" s="62"/>
      <c r="GD62" s="62"/>
      <c r="GE62" s="62"/>
      <c r="GF62" s="63"/>
      <c r="GG62" s="63"/>
      <c r="GH62" s="62"/>
      <c r="GI62" s="62"/>
      <c r="GJ62" s="62"/>
      <c r="GK62" s="62"/>
      <c r="GL62" s="62"/>
      <c r="GM62" s="62"/>
      <c r="GN62" s="62"/>
      <c r="GO62" s="62"/>
      <c r="GP62" s="62"/>
      <c r="GQ62" s="62"/>
      <c r="GR62" s="62"/>
      <c r="GS62" s="62"/>
      <c r="GT62" s="62"/>
      <c r="GU62" s="62"/>
      <c r="GV62" s="62"/>
      <c r="GW62" s="62"/>
      <c r="GX62" s="62"/>
      <c r="GY62" s="62"/>
      <c r="GZ62" s="62"/>
      <c r="HA62" s="62"/>
      <c r="HB62" s="62"/>
      <c r="HC62" s="62"/>
      <c r="HD62" s="62"/>
      <c r="HE62" s="62"/>
      <c r="HF62" s="62"/>
      <c r="HG62" s="68" t="s">
        <v>257</v>
      </c>
      <c r="HH62" s="62" t="s">
        <v>258</v>
      </c>
      <c r="HI62" s="62"/>
      <c r="HJ62" s="62">
        <v>12</v>
      </c>
      <c r="HK62" s="62" t="s">
        <v>331</v>
      </c>
      <c r="HL62" s="62" t="s">
        <v>332</v>
      </c>
      <c r="HM62" s="62" t="s">
        <v>331</v>
      </c>
      <c r="HN62" s="62" t="s">
        <v>331</v>
      </c>
      <c r="HO62" s="62" t="s">
        <v>331</v>
      </c>
      <c r="HP62" s="70">
        <v>0.86</v>
      </c>
      <c r="HQ62" s="70">
        <v>0</v>
      </c>
      <c r="HR62" s="70">
        <v>0</v>
      </c>
      <c r="HS62" s="70">
        <v>0</v>
      </c>
      <c r="HT62" s="70">
        <v>0.89</v>
      </c>
      <c r="HU62" s="62" t="s">
        <v>286</v>
      </c>
      <c r="HV62" s="62" t="s">
        <v>263</v>
      </c>
      <c r="HW62" s="62"/>
      <c r="HX62" s="62"/>
    </row>
    <row r="63" spans="2:232" hidden="1" x14ac:dyDescent="0.2">
      <c r="B63" s="60">
        <v>19</v>
      </c>
      <c r="C63" s="60">
        <v>6</v>
      </c>
      <c r="D63" s="61" t="s">
        <v>326</v>
      </c>
      <c r="E63" s="62"/>
      <c r="F63" s="62"/>
      <c r="G63" s="62"/>
      <c r="H63" s="62"/>
      <c r="I63" s="62"/>
      <c r="J63" s="61" t="s">
        <v>327</v>
      </c>
      <c r="K63" s="60" t="s">
        <v>326</v>
      </c>
      <c r="L63" s="62" t="s">
        <v>328</v>
      </c>
      <c r="M63" s="63">
        <v>3301</v>
      </c>
      <c r="N63" s="73" t="s">
        <v>329</v>
      </c>
      <c r="O63" s="73"/>
      <c r="P63" s="73"/>
      <c r="Q63" s="73"/>
      <c r="R63" s="73"/>
      <c r="S63" s="71">
        <v>732586.77</v>
      </c>
      <c r="T63" s="74" t="s">
        <v>254</v>
      </c>
      <c r="U63" s="74">
        <v>109898</v>
      </c>
      <c r="V63" s="74">
        <f>SUM(LIST_LOCATIONDETAILS334[[#This Row],[Building]:[BI]])</f>
        <v>842484.77</v>
      </c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0" t="s">
        <v>269</v>
      </c>
      <c r="AQ63" s="62"/>
      <c r="AR63" s="62"/>
      <c r="AS63" s="60" t="s">
        <v>330</v>
      </c>
      <c r="AT63" s="60">
        <v>1970</v>
      </c>
      <c r="AU63" s="62"/>
      <c r="AV63" s="63"/>
      <c r="AW63" s="63"/>
      <c r="AX63" s="62"/>
      <c r="AY63" s="62"/>
      <c r="AZ63" s="60">
        <v>2</v>
      </c>
      <c r="BA63" s="60">
        <v>5619</v>
      </c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2"/>
      <c r="CB63" s="62"/>
      <c r="CC63" s="62"/>
      <c r="CD63" s="62"/>
      <c r="CE63" s="62"/>
      <c r="CF63" s="62"/>
      <c r="CG63" s="62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  <c r="EA63" s="62"/>
      <c r="EB63" s="62"/>
      <c r="EC63" s="62"/>
      <c r="ED63" s="62"/>
      <c r="EE63" s="62"/>
      <c r="EF63" s="62"/>
      <c r="EG63" s="62"/>
      <c r="EH63" s="62"/>
      <c r="EI63" s="62"/>
      <c r="EJ63" s="62"/>
      <c r="EK63" s="62"/>
      <c r="EL63" s="62"/>
      <c r="EM63" s="62"/>
      <c r="EN63" s="62"/>
      <c r="EO63" s="62"/>
      <c r="EP63" s="62"/>
      <c r="EQ63" s="62"/>
      <c r="ER63" s="62"/>
      <c r="ES63" s="62"/>
      <c r="ET63" s="62"/>
      <c r="EU63" s="62"/>
      <c r="EV63" s="62"/>
      <c r="EW63" s="62"/>
      <c r="EX63" s="62"/>
      <c r="EY63" s="62"/>
      <c r="EZ63" s="62"/>
      <c r="FA63" s="62"/>
      <c r="FB63" s="62"/>
      <c r="FC63" s="62"/>
      <c r="FD63" s="62"/>
      <c r="FE63" s="62"/>
      <c r="FF63" s="62"/>
      <c r="FG63" s="62"/>
      <c r="FH63" s="62"/>
      <c r="FI63" s="62"/>
      <c r="FJ63" s="67"/>
      <c r="FK63" s="67"/>
      <c r="FL63" s="67"/>
      <c r="FM63" s="67"/>
      <c r="FN63" s="67"/>
      <c r="FO63" s="67"/>
      <c r="FP63" s="67"/>
      <c r="FQ63" s="67"/>
      <c r="FR63" s="62"/>
      <c r="FS63" s="62"/>
      <c r="FT63" s="62"/>
      <c r="FU63" s="62"/>
      <c r="FV63" s="62"/>
      <c r="FW63" s="62"/>
      <c r="FX63" s="62"/>
      <c r="FY63" s="62"/>
      <c r="FZ63" s="62"/>
      <c r="GA63" s="62"/>
      <c r="GB63" s="62"/>
      <c r="GC63" s="62"/>
      <c r="GD63" s="62"/>
      <c r="GE63" s="62"/>
      <c r="GF63" s="63"/>
      <c r="GG63" s="63"/>
      <c r="GH63" s="62"/>
      <c r="GI63" s="62"/>
      <c r="GJ63" s="62"/>
      <c r="GK63" s="62"/>
      <c r="GL63" s="62"/>
      <c r="GM63" s="62"/>
      <c r="GN63" s="62"/>
      <c r="GO63" s="62"/>
      <c r="GP63" s="62"/>
      <c r="GQ63" s="62"/>
      <c r="GR63" s="62"/>
      <c r="GS63" s="62"/>
      <c r="GT63" s="62"/>
      <c r="GU63" s="62"/>
      <c r="GV63" s="62"/>
      <c r="GW63" s="62"/>
      <c r="GX63" s="62"/>
      <c r="GY63" s="62"/>
      <c r="GZ63" s="62"/>
      <c r="HA63" s="62"/>
      <c r="HB63" s="62"/>
      <c r="HC63" s="62"/>
      <c r="HD63" s="62"/>
      <c r="HE63" s="62"/>
      <c r="HF63" s="62"/>
      <c r="HG63" s="68" t="s">
        <v>257</v>
      </c>
      <c r="HH63" s="62" t="s">
        <v>258</v>
      </c>
      <c r="HI63" s="62"/>
      <c r="HJ63" s="62">
        <v>6</v>
      </c>
      <c r="HK63" s="62" t="s">
        <v>331</v>
      </c>
      <c r="HL63" s="62" t="s">
        <v>332</v>
      </c>
      <c r="HM63" s="62" t="s">
        <v>331</v>
      </c>
      <c r="HN63" s="62" t="s">
        <v>331</v>
      </c>
      <c r="HO63" s="62" t="s">
        <v>331</v>
      </c>
      <c r="HP63" s="70">
        <v>0.86</v>
      </c>
      <c r="HQ63" s="70">
        <v>0</v>
      </c>
      <c r="HR63" s="70">
        <v>0</v>
      </c>
      <c r="HS63" s="70">
        <v>0</v>
      </c>
      <c r="HT63" s="70">
        <v>0.89</v>
      </c>
      <c r="HU63" s="62" t="s">
        <v>286</v>
      </c>
      <c r="HV63" s="62" t="s">
        <v>263</v>
      </c>
      <c r="HW63" s="62"/>
      <c r="HX63" s="62"/>
    </row>
    <row r="64" spans="2:232" hidden="1" x14ac:dyDescent="0.2">
      <c r="B64" s="60">
        <v>19</v>
      </c>
      <c r="C64" s="60">
        <v>7</v>
      </c>
      <c r="D64" s="61" t="s">
        <v>326</v>
      </c>
      <c r="E64" s="62"/>
      <c r="F64" s="62"/>
      <c r="G64" s="62"/>
      <c r="H64" s="62"/>
      <c r="I64" s="62"/>
      <c r="J64" s="61" t="s">
        <v>327</v>
      </c>
      <c r="K64" s="60" t="s">
        <v>326</v>
      </c>
      <c r="L64" s="62" t="s">
        <v>328</v>
      </c>
      <c r="M64" s="63">
        <v>3301</v>
      </c>
      <c r="N64" s="73" t="s">
        <v>329</v>
      </c>
      <c r="O64" s="73"/>
      <c r="P64" s="73"/>
      <c r="Q64" s="73"/>
      <c r="R64" s="73"/>
      <c r="S64" s="71">
        <v>1221108.33</v>
      </c>
      <c r="T64" s="74" t="s">
        <v>254</v>
      </c>
      <c r="U64" s="74">
        <v>183183</v>
      </c>
      <c r="V64" s="74">
        <f>SUM(LIST_LOCATIONDETAILS334[[#This Row],[Building]:[BI]])</f>
        <v>1404291.33</v>
      </c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0" t="s">
        <v>269</v>
      </c>
      <c r="AQ64" s="62"/>
      <c r="AR64" s="62"/>
      <c r="AS64" s="60" t="s">
        <v>330</v>
      </c>
      <c r="AT64" s="60">
        <v>1970</v>
      </c>
      <c r="AU64" s="62"/>
      <c r="AV64" s="63"/>
      <c r="AW64" s="63"/>
      <c r="AX64" s="62"/>
      <c r="AY64" s="62"/>
      <c r="AZ64" s="60">
        <v>2</v>
      </c>
      <c r="BA64" s="60">
        <v>9366</v>
      </c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2"/>
      <c r="CB64" s="62"/>
      <c r="CC64" s="62"/>
      <c r="CD64" s="62"/>
      <c r="CE64" s="62"/>
      <c r="CF64" s="62"/>
      <c r="CG64" s="62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2"/>
      <c r="EF64" s="62"/>
      <c r="EG64" s="62"/>
      <c r="EH64" s="62"/>
      <c r="EI64" s="62"/>
      <c r="EJ64" s="62"/>
      <c r="EK64" s="62"/>
      <c r="EL64" s="62"/>
      <c r="EM64" s="62"/>
      <c r="EN64" s="62"/>
      <c r="EO64" s="62"/>
      <c r="EP64" s="62"/>
      <c r="EQ64" s="62"/>
      <c r="ER64" s="62"/>
      <c r="ES64" s="62"/>
      <c r="ET64" s="62"/>
      <c r="EU64" s="62"/>
      <c r="EV64" s="62"/>
      <c r="EW64" s="62"/>
      <c r="EX64" s="62"/>
      <c r="EY64" s="62"/>
      <c r="EZ64" s="62"/>
      <c r="FA64" s="62"/>
      <c r="FB64" s="62"/>
      <c r="FC64" s="62"/>
      <c r="FD64" s="62"/>
      <c r="FE64" s="62"/>
      <c r="FF64" s="62"/>
      <c r="FG64" s="62"/>
      <c r="FH64" s="62"/>
      <c r="FI64" s="62"/>
      <c r="FJ64" s="67"/>
      <c r="FK64" s="67"/>
      <c r="FL64" s="67"/>
      <c r="FM64" s="67"/>
      <c r="FN64" s="67"/>
      <c r="FO64" s="67"/>
      <c r="FP64" s="67"/>
      <c r="FQ64" s="67"/>
      <c r="FR64" s="62"/>
      <c r="FS64" s="62"/>
      <c r="FT64" s="62"/>
      <c r="FU64" s="62"/>
      <c r="FV64" s="62"/>
      <c r="FW64" s="62"/>
      <c r="FX64" s="62"/>
      <c r="FY64" s="62"/>
      <c r="FZ64" s="62"/>
      <c r="GA64" s="62"/>
      <c r="GB64" s="62"/>
      <c r="GC64" s="62"/>
      <c r="GD64" s="62"/>
      <c r="GE64" s="62"/>
      <c r="GF64" s="63"/>
      <c r="GG64" s="63"/>
      <c r="GH64" s="62"/>
      <c r="GI64" s="62"/>
      <c r="GJ64" s="62"/>
      <c r="GK64" s="62"/>
      <c r="GL64" s="62"/>
      <c r="GM64" s="62"/>
      <c r="GN64" s="62"/>
      <c r="GO64" s="62"/>
      <c r="GP64" s="62"/>
      <c r="GQ64" s="62"/>
      <c r="GR64" s="62"/>
      <c r="GS64" s="62"/>
      <c r="GT64" s="62"/>
      <c r="GU64" s="62"/>
      <c r="GV64" s="62"/>
      <c r="GW64" s="62"/>
      <c r="GX64" s="62"/>
      <c r="GY64" s="62"/>
      <c r="GZ64" s="62"/>
      <c r="HA64" s="62"/>
      <c r="HB64" s="62"/>
      <c r="HC64" s="62"/>
      <c r="HD64" s="62"/>
      <c r="HE64" s="62"/>
      <c r="HF64" s="62"/>
      <c r="HG64" s="68" t="s">
        <v>257</v>
      </c>
      <c r="HH64" s="62" t="s">
        <v>258</v>
      </c>
      <c r="HI64" s="62"/>
      <c r="HJ64" s="62">
        <v>10</v>
      </c>
      <c r="HK64" s="62" t="s">
        <v>331</v>
      </c>
      <c r="HL64" s="62" t="s">
        <v>332</v>
      </c>
      <c r="HM64" s="62" t="s">
        <v>331</v>
      </c>
      <c r="HN64" s="62" t="s">
        <v>331</v>
      </c>
      <c r="HO64" s="62" t="s">
        <v>331</v>
      </c>
      <c r="HP64" s="70">
        <v>0.86</v>
      </c>
      <c r="HQ64" s="70">
        <v>0</v>
      </c>
      <c r="HR64" s="70">
        <v>0</v>
      </c>
      <c r="HS64" s="70">
        <v>0</v>
      </c>
      <c r="HT64" s="70">
        <v>0.89</v>
      </c>
      <c r="HU64" s="62" t="s">
        <v>286</v>
      </c>
      <c r="HV64" s="62" t="s">
        <v>263</v>
      </c>
      <c r="HW64" s="62"/>
      <c r="HX64" s="62"/>
    </row>
    <row r="65" spans="2:232" hidden="1" x14ac:dyDescent="0.2">
      <c r="B65" s="60">
        <v>19</v>
      </c>
      <c r="C65" s="60">
        <v>8</v>
      </c>
      <c r="D65" s="61" t="s">
        <v>326</v>
      </c>
      <c r="E65" s="62"/>
      <c r="F65" s="62"/>
      <c r="G65" s="62"/>
      <c r="H65" s="62"/>
      <c r="I65" s="62"/>
      <c r="J65" s="61" t="s">
        <v>327</v>
      </c>
      <c r="K65" s="60" t="s">
        <v>326</v>
      </c>
      <c r="L65" s="62" t="s">
        <v>328</v>
      </c>
      <c r="M65" s="63">
        <v>3301</v>
      </c>
      <c r="N65" s="73" t="s">
        <v>329</v>
      </c>
      <c r="O65" s="73"/>
      <c r="P65" s="73"/>
      <c r="Q65" s="73"/>
      <c r="R65" s="73"/>
      <c r="S65" s="71">
        <v>732586.77</v>
      </c>
      <c r="T65" s="74" t="s">
        <v>254</v>
      </c>
      <c r="U65" s="74">
        <v>109898</v>
      </c>
      <c r="V65" s="74">
        <f>SUM(LIST_LOCATIONDETAILS334[[#This Row],[Building]:[BI]])</f>
        <v>842484.77</v>
      </c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0" t="s">
        <v>269</v>
      </c>
      <c r="AQ65" s="62"/>
      <c r="AR65" s="62"/>
      <c r="AS65" s="60" t="s">
        <v>330</v>
      </c>
      <c r="AT65" s="60">
        <v>1970</v>
      </c>
      <c r="AU65" s="62"/>
      <c r="AV65" s="63"/>
      <c r="AW65" s="63"/>
      <c r="AX65" s="62"/>
      <c r="AY65" s="62"/>
      <c r="AZ65" s="60">
        <v>2</v>
      </c>
      <c r="BA65" s="60">
        <v>5619</v>
      </c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2"/>
      <c r="CB65" s="62"/>
      <c r="CC65" s="62"/>
      <c r="CD65" s="62"/>
      <c r="CE65" s="62"/>
      <c r="CF65" s="62"/>
      <c r="CG65" s="62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  <c r="EA65" s="62"/>
      <c r="EB65" s="62"/>
      <c r="EC65" s="62"/>
      <c r="ED65" s="62"/>
      <c r="EE65" s="62"/>
      <c r="EF65" s="62"/>
      <c r="EG65" s="62"/>
      <c r="EH65" s="62"/>
      <c r="EI65" s="62"/>
      <c r="EJ65" s="62"/>
      <c r="EK65" s="62"/>
      <c r="EL65" s="62"/>
      <c r="EM65" s="62"/>
      <c r="EN65" s="62"/>
      <c r="EO65" s="62"/>
      <c r="EP65" s="62"/>
      <c r="EQ65" s="62"/>
      <c r="ER65" s="62"/>
      <c r="ES65" s="62"/>
      <c r="ET65" s="62"/>
      <c r="EU65" s="62"/>
      <c r="EV65" s="62"/>
      <c r="EW65" s="62"/>
      <c r="EX65" s="62"/>
      <c r="EY65" s="62"/>
      <c r="EZ65" s="62"/>
      <c r="FA65" s="62"/>
      <c r="FB65" s="62"/>
      <c r="FC65" s="62"/>
      <c r="FD65" s="62"/>
      <c r="FE65" s="62"/>
      <c r="FF65" s="62"/>
      <c r="FG65" s="62"/>
      <c r="FH65" s="62"/>
      <c r="FI65" s="62"/>
      <c r="FJ65" s="67"/>
      <c r="FK65" s="67"/>
      <c r="FL65" s="67"/>
      <c r="FM65" s="67"/>
      <c r="FN65" s="67"/>
      <c r="FO65" s="67"/>
      <c r="FP65" s="67"/>
      <c r="FQ65" s="67"/>
      <c r="FR65" s="62"/>
      <c r="FS65" s="62"/>
      <c r="FT65" s="62"/>
      <c r="FU65" s="62"/>
      <c r="FV65" s="62"/>
      <c r="FW65" s="62"/>
      <c r="FX65" s="62"/>
      <c r="FY65" s="62"/>
      <c r="FZ65" s="62"/>
      <c r="GA65" s="62"/>
      <c r="GB65" s="62"/>
      <c r="GC65" s="62"/>
      <c r="GD65" s="62"/>
      <c r="GE65" s="62"/>
      <c r="GF65" s="63"/>
      <c r="GG65" s="63"/>
      <c r="GH65" s="62"/>
      <c r="GI65" s="62"/>
      <c r="GJ65" s="62"/>
      <c r="GK65" s="62"/>
      <c r="GL65" s="62"/>
      <c r="GM65" s="62"/>
      <c r="GN65" s="62"/>
      <c r="GO65" s="62"/>
      <c r="GP65" s="62"/>
      <c r="GQ65" s="62"/>
      <c r="GR65" s="62"/>
      <c r="GS65" s="62"/>
      <c r="GT65" s="62"/>
      <c r="GU65" s="62"/>
      <c r="GV65" s="62"/>
      <c r="GW65" s="62"/>
      <c r="GX65" s="62"/>
      <c r="GY65" s="62"/>
      <c r="GZ65" s="62"/>
      <c r="HA65" s="62"/>
      <c r="HB65" s="62"/>
      <c r="HC65" s="62"/>
      <c r="HD65" s="62"/>
      <c r="HE65" s="62"/>
      <c r="HF65" s="62"/>
      <c r="HG65" s="68" t="s">
        <v>257</v>
      </c>
      <c r="HH65" s="62" t="s">
        <v>258</v>
      </c>
      <c r="HI65" s="62"/>
      <c r="HJ65" s="62">
        <v>6</v>
      </c>
      <c r="HK65" s="62" t="s">
        <v>331</v>
      </c>
      <c r="HL65" s="62" t="s">
        <v>332</v>
      </c>
      <c r="HM65" s="62" t="s">
        <v>331</v>
      </c>
      <c r="HN65" s="62" t="s">
        <v>331</v>
      </c>
      <c r="HO65" s="62" t="s">
        <v>331</v>
      </c>
      <c r="HP65" s="70">
        <v>0.86</v>
      </c>
      <c r="HQ65" s="70">
        <v>0</v>
      </c>
      <c r="HR65" s="70">
        <v>0</v>
      </c>
      <c r="HS65" s="70">
        <v>0</v>
      </c>
      <c r="HT65" s="70">
        <v>0.89</v>
      </c>
      <c r="HU65" s="62" t="s">
        <v>286</v>
      </c>
      <c r="HV65" s="62" t="s">
        <v>263</v>
      </c>
      <c r="HW65" s="62"/>
      <c r="HX65" s="62"/>
    </row>
    <row r="66" spans="2:232" hidden="1" x14ac:dyDescent="0.2">
      <c r="B66" s="60">
        <v>19</v>
      </c>
      <c r="C66" s="60">
        <v>9</v>
      </c>
      <c r="D66" s="61" t="s">
        <v>326</v>
      </c>
      <c r="E66" s="62"/>
      <c r="F66" s="62"/>
      <c r="G66" s="62"/>
      <c r="H66" s="62"/>
      <c r="I66" s="62"/>
      <c r="J66" s="61" t="s">
        <v>327</v>
      </c>
      <c r="K66" s="60" t="s">
        <v>326</v>
      </c>
      <c r="L66" s="62" t="s">
        <v>328</v>
      </c>
      <c r="M66" s="63">
        <v>3301</v>
      </c>
      <c r="N66" s="73" t="s">
        <v>329</v>
      </c>
      <c r="O66" s="73"/>
      <c r="P66" s="73"/>
      <c r="Q66" s="73"/>
      <c r="R66" s="73"/>
      <c r="S66" s="71">
        <v>1370650.42</v>
      </c>
      <c r="T66" s="74" t="s">
        <v>254</v>
      </c>
      <c r="U66" s="74">
        <v>205617</v>
      </c>
      <c r="V66" s="74">
        <f>SUM(LIST_LOCATIONDETAILS334[[#This Row],[Building]:[BI]])</f>
        <v>1576267.42</v>
      </c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0" t="s">
        <v>269</v>
      </c>
      <c r="AQ66" s="62"/>
      <c r="AR66" s="62"/>
      <c r="AS66" s="60" t="s">
        <v>330</v>
      </c>
      <c r="AT66" s="60">
        <v>1970</v>
      </c>
      <c r="AU66" s="62"/>
      <c r="AV66" s="63"/>
      <c r="AW66" s="63"/>
      <c r="AX66" s="62"/>
      <c r="AY66" s="62"/>
      <c r="AZ66" s="60">
        <v>2</v>
      </c>
      <c r="BA66" s="60">
        <v>10513</v>
      </c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2"/>
      <c r="CB66" s="62"/>
      <c r="CC66" s="62"/>
      <c r="CD66" s="62"/>
      <c r="CE66" s="62"/>
      <c r="CF66" s="62"/>
      <c r="CG66" s="62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  <c r="EA66" s="62"/>
      <c r="EB66" s="62"/>
      <c r="EC66" s="62"/>
      <c r="ED66" s="62"/>
      <c r="EE66" s="62"/>
      <c r="EF66" s="62"/>
      <c r="EG66" s="62"/>
      <c r="EH66" s="62"/>
      <c r="EI66" s="62"/>
      <c r="EJ66" s="62"/>
      <c r="EK66" s="62"/>
      <c r="EL66" s="62"/>
      <c r="EM66" s="62"/>
      <c r="EN66" s="62"/>
      <c r="EO66" s="62"/>
      <c r="EP66" s="62"/>
      <c r="EQ66" s="62"/>
      <c r="ER66" s="62"/>
      <c r="ES66" s="62"/>
      <c r="ET66" s="62"/>
      <c r="EU66" s="62"/>
      <c r="EV66" s="62"/>
      <c r="EW66" s="62"/>
      <c r="EX66" s="62"/>
      <c r="EY66" s="62"/>
      <c r="EZ66" s="62"/>
      <c r="FA66" s="62"/>
      <c r="FB66" s="62"/>
      <c r="FC66" s="62"/>
      <c r="FD66" s="62"/>
      <c r="FE66" s="62"/>
      <c r="FF66" s="62"/>
      <c r="FG66" s="62"/>
      <c r="FH66" s="62"/>
      <c r="FI66" s="62"/>
      <c r="FJ66" s="67"/>
      <c r="FK66" s="67"/>
      <c r="FL66" s="67"/>
      <c r="FM66" s="67"/>
      <c r="FN66" s="67"/>
      <c r="FO66" s="67"/>
      <c r="FP66" s="67"/>
      <c r="FQ66" s="67"/>
      <c r="FR66" s="62"/>
      <c r="FS66" s="62"/>
      <c r="FT66" s="62"/>
      <c r="FU66" s="62"/>
      <c r="FV66" s="62"/>
      <c r="FW66" s="62"/>
      <c r="FX66" s="62"/>
      <c r="FY66" s="62"/>
      <c r="FZ66" s="62"/>
      <c r="GA66" s="62"/>
      <c r="GB66" s="62"/>
      <c r="GC66" s="62"/>
      <c r="GD66" s="62"/>
      <c r="GE66" s="62"/>
      <c r="GF66" s="63"/>
      <c r="GG66" s="63"/>
      <c r="GH66" s="62"/>
      <c r="GI66" s="62"/>
      <c r="GJ66" s="62"/>
      <c r="GK66" s="62"/>
      <c r="GL66" s="62"/>
      <c r="GM66" s="62"/>
      <c r="GN66" s="62"/>
      <c r="GO66" s="62"/>
      <c r="GP66" s="62"/>
      <c r="GQ66" s="62"/>
      <c r="GR66" s="62"/>
      <c r="GS66" s="62"/>
      <c r="GT66" s="62"/>
      <c r="GU66" s="62"/>
      <c r="GV66" s="62"/>
      <c r="GW66" s="62"/>
      <c r="GX66" s="62"/>
      <c r="GY66" s="62"/>
      <c r="GZ66" s="62"/>
      <c r="HA66" s="62"/>
      <c r="HB66" s="62"/>
      <c r="HC66" s="62"/>
      <c r="HD66" s="62"/>
      <c r="HE66" s="62"/>
      <c r="HF66" s="62"/>
      <c r="HG66" s="68" t="s">
        <v>257</v>
      </c>
      <c r="HH66" s="62" t="s">
        <v>258</v>
      </c>
      <c r="HI66" s="62"/>
      <c r="HJ66" s="62">
        <v>12</v>
      </c>
      <c r="HK66" s="62" t="s">
        <v>331</v>
      </c>
      <c r="HL66" s="62" t="s">
        <v>332</v>
      </c>
      <c r="HM66" s="62" t="s">
        <v>331</v>
      </c>
      <c r="HN66" s="62" t="s">
        <v>331</v>
      </c>
      <c r="HO66" s="62" t="s">
        <v>331</v>
      </c>
      <c r="HP66" s="70">
        <v>0.86</v>
      </c>
      <c r="HQ66" s="70">
        <v>0</v>
      </c>
      <c r="HR66" s="70">
        <v>0</v>
      </c>
      <c r="HS66" s="70">
        <v>0</v>
      </c>
      <c r="HT66" s="70">
        <v>0.89</v>
      </c>
      <c r="HU66" s="62" t="s">
        <v>286</v>
      </c>
      <c r="HV66" s="62" t="s">
        <v>263</v>
      </c>
      <c r="HW66" s="62"/>
      <c r="HX66" s="62"/>
    </row>
    <row r="67" spans="2:232" hidden="1" x14ac:dyDescent="0.2">
      <c r="B67" s="60">
        <v>19</v>
      </c>
      <c r="C67" s="60">
        <v>10</v>
      </c>
      <c r="D67" s="61" t="s">
        <v>326</v>
      </c>
      <c r="E67" s="62"/>
      <c r="F67" s="62"/>
      <c r="G67" s="62"/>
      <c r="H67" s="62"/>
      <c r="I67" s="62"/>
      <c r="J67" s="61" t="s">
        <v>327</v>
      </c>
      <c r="K67" s="60" t="s">
        <v>326</v>
      </c>
      <c r="L67" s="62" t="s">
        <v>328</v>
      </c>
      <c r="M67" s="63">
        <v>3301</v>
      </c>
      <c r="N67" s="73" t="s">
        <v>329</v>
      </c>
      <c r="O67" s="73"/>
      <c r="P67" s="73"/>
      <c r="Q67" s="73"/>
      <c r="R67" s="73"/>
      <c r="S67" s="71">
        <v>1465303.92</v>
      </c>
      <c r="T67" s="74" t="s">
        <v>254</v>
      </c>
      <c r="U67" s="74">
        <v>219816</v>
      </c>
      <c r="V67" s="74">
        <f>SUM(LIST_LOCATIONDETAILS334[[#This Row],[Building]:[BI]])</f>
        <v>1685119.92</v>
      </c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0" t="s">
        <v>269</v>
      </c>
      <c r="AQ67" s="62"/>
      <c r="AR67" s="62"/>
      <c r="AS67" s="60" t="s">
        <v>330</v>
      </c>
      <c r="AT67" s="60">
        <v>1970</v>
      </c>
      <c r="AU67" s="62"/>
      <c r="AV67" s="63"/>
      <c r="AW67" s="63"/>
      <c r="AX67" s="62"/>
      <c r="AY67" s="62"/>
      <c r="AZ67" s="60">
        <v>2</v>
      </c>
      <c r="BA67" s="60">
        <v>11239</v>
      </c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2"/>
      <c r="CB67" s="62"/>
      <c r="CC67" s="62"/>
      <c r="CD67" s="62"/>
      <c r="CE67" s="62"/>
      <c r="CF67" s="62"/>
      <c r="CG67" s="62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  <c r="EA67" s="62"/>
      <c r="EB67" s="62"/>
      <c r="EC67" s="62"/>
      <c r="ED67" s="62"/>
      <c r="EE67" s="62"/>
      <c r="EF67" s="62"/>
      <c r="EG67" s="62"/>
      <c r="EH67" s="62"/>
      <c r="EI67" s="62"/>
      <c r="EJ67" s="62"/>
      <c r="EK67" s="62"/>
      <c r="EL67" s="62"/>
      <c r="EM67" s="62"/>
      <c r="EN67" s="62"/>
      <c r="EO67" s="62"/>
      <c r="EP67" s="62"/>
      <c r="EQ67" s="62"/>
      <c r="ER67" s="62"/>
      <c r="ES67" s="62"/>
      <c r="ET67" s="62"/>
      <c r="EU67" s="62"/>
      <c r="EV67" s="62"/>
      <c r="EW67" s="62"/>
      <c r="EX67" s="62"/>
      <c r="EY67" s="62"/>
      <c r="EZ67" s="62"/>
      <c r="FA67" s="62"/>
      <c r="FB67" s="62"/>
      <c r="FC67" s="62"/>
      <c r="FD67" s="62"/>
      <c r="FE67" s="62"/>
      <c r="FF67" s="62"/>
      <c r="FG67" s="62"/>
      <c r="FH67" s="62"/>
      <c r="FI67" s="62"/>
      <c r="FJ67" s="67"/>
      <c r="FK67" s="67"/>
      <c r="FL67" s="67"/>
      <c r="FM67" s="67"/>
      <c r="FN67" s="67"/>
      <c r="FO67" s="67"/>
      <c r="FP67" s="67"/>
      <c r="FQ67" s="67"/>
      <c r="FR67" s="62"/>
      <c r="FS67" s="62"/>
      <c r="FT67" s="62"/>
      <c r="FU67" s="62"/>
      <c r="FV67" s="62"/>
      <c r="FW67" s="62"/>
      <c r="FX67" s="62"/>
      <c r="FY67" s="62"/>
      <c r="FZ67" s="62"/>
      <c r="GA67" s="62"/>
      <c r="GB67" s="62"/>
      <c r="GC67" s="62"/>
      <c r="GD67" s="62"/>
      <c r="GE67" s="62"/>
      <c r="GF67" s="63"/>
      <c r="GG67" s="63"/>
      <c r="GH67" s="62"/>
      <c r="GI67" s="62"/>
      <c r="GJ67" s="62"/>
      <c r="GK67" s="62"/>
      <c r="GL67" s="62"/>
      <c r="GM67" s="62"/>
      <c r="GN67" s="62"/>
      <c r="GO67" s="62"/>
      <c r="GP67" s="62"/>
      <c r="GQ67" s="62"/>
      <c r="GR67" s="62"/>
      <c r="GS67" s="62"/>
      <c r="GT67" s="62"/>
      <c r="GU67" s="62"/>
      <c r="GV67" s="62"/>
      <c r="GW67" s="62"/>
      <c r="GX67" s="62"/>
      <c r="GY67" s="62"/>
      <c r="GZ67" s="62"/>
      <c r="HA67" s="62"/>
      <c r="HB67" s="62"/>
      <c r="HC67" s="62"/>
      <c r="HD67" s="62"/>
      <c r="HE67" s="62"/>
      <c r="HF67" s="62"/>
      <c r="HG67" s="68" t="s">
        <v>257</v>
      </c>
      <c r="HH67" s="62" t="s">
        <v>258</v>
      </c>
      <c r="HI67" s="62"/>
      <c r="HJ67" s="62">
        <v>12</v>
      </c>
      <c r="HK67" s="62" t="s">
        <v>331</v>
      </c>
      <c r="HL67" s="62" t="s">
        <v>332</v>
      </c>
      <c r="HM67" s="62" t="s">
        <v>331</v>
      </c>
      <c r="HN67" s="62" t="s">
        <v>331</v>
      </c>
      <c r="HO67" s="62" t="s">
        <v>331</v>
      </c>
      <c r="HP67" s="70">
        <v>0.86</v>
      </c>
      <c r="HQ67" s="70">
        <v>0</v>
      </c>
      <c r="HR67" s="70">
        <v>0</v>
      </c>
      <c r="HS67" s="70">
        <v>0</v>
      </c>
      <c r="HT67" s="70">
        <v>0.89</v>
      </c>
      <c r="HU67" s="62" t="s">
        <v>286</v>
      </c>
      <c r="HV67" s="62" t="s">
        <v>263</v>
      </c>
      <c r="HW67" s="62"/>
      <c r="HX67" s="62"/>
    </row>
    <row r="68" spans="2:232" hidden="1" x14ac:dyDescent="0.2">
      <c r="B68" s="60">
        <v>19</v>
      </c>
      <c r="C68" s="60">
        <v>11</v>
      </c>
      <c r="D68" s="61" t="s">
        <v>326</v>
      </c>
      <c r="E68" s="62"/>
      <c r="F68" s="62"/>
      <c r="G68" s="62"/>
      <c r="H68" s="62"/>
      <c r="I68" s="62"/>
      <c r="J68" s="61" t="s">
        <v>327</v>
      </c>
      <c r="K68" s="60" t="s">
        <v>326</v>
      </c>
      <c r="L68" s="62" t="s">
        <v>328</v>
      </c>
      <c r="M68" s="63">
        <v>3301</v>
      </c>
      <c r="N68" s="73" t="s">
        <v>329</v>
      </c>
      <c r="O68" s="73"/>
      <c r="P68" s="73"/>
      <c r="Q68" s="73"/>
      <c r="R68" s="73"/>
      <c r="S68" s="71">
        <v>1370650.42</v>
      </c>
      <c r="T68" s="74" t="s">
        <v>254</v>
      </c>
      <c r="U68" s="74">
        <v>205617</v>
      </c>
      <c r="V68" s="74">
        <f>SUM(LIST_LOCATIONDETAILS334[[#This Row],[Building]:[BI]])</f>
        <v>1576267.42</v>
      </c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0" t="s">
        <v>269</v>
      </c>
      <c r="AQ68" s="62"/>
      <c r="AR68" s="62"/>
      <c r="AS68" s="60" t="s">
        <v>330</v>
      </c>
      <c r="AT68" s="60">
        <v>1970</v>
      </c>
      <c r="AU68" s="62"/>
      <c r="AV68" s="63"/>
      <c r="AW68" s="63"/>
      <c r="AX68" s="62"/>
      <c r="AY68" s="62"/>
      <c r="AZ68" s="60">
        <v>2</v>
      </c>
      <c r="BA68" s="60">
        <v>10513</v>
      </c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2"/>
      <c r="CB68" s="62"/>
      <c r="CC68" s="62"/>
      <c r="CD68" s="62"/>
      <c r="CE68" s="62"/>
      <c r="CF68" s="62"/>
      <c r="CG68" s="62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  <c r="EA68" s="62"/>
      <c r="EB68" s="62"/>
      <c r="EC68" s="62"/>
      <c r="ED68" s="62"/>
      <c r="EE68" s="62"/>
      <c r="EF68" s="62"/>
      <c r="EG68" s="62"/>
      <c r="EH68" s="62"/>
      <c r="EI68" s="62"/>
      <c r="EJ68" s="62"/>
      <c r="EK68" s="62"/>
      <c r="EL68" s="62"/>
      <c r="EM68" s="62"/>
      <c r="EN68" s="62"/>
      <c r="EO68" s="62"/>
      <c r="EP68" s="62"/>
      <c r="EQ68" s="62"/>
      <c r="ER68" s="62"/>
      <c r="ES68" s="62"/>
      <c r="ET68" s="62"/>
      <c r="EU68" s="62"/>
      <c r="EV68" s="62"/>
      <c r="EW68" s="62"/>
      <c r="EX68" s="62"/>
      <c r="EY68" s="62"/>
      <c r="EZ68" s="62"/>
      <c r="FA68" s="62"/>
      <c r="FB68" s="62"/>
      <c r="FC68" s="62"/>
      <c r="FD68" s="62"/>
      <c r="FE68" s="62"/>
      <c r="FF68" s="62"/>
      <c r="FG68" s="62"/>
      <c r="FH68" s="62"/>
      <c r="FI68" s="62"/>
      <c r="FJ68" s="67"/>
      <c r="FK68" s="67"/>
      <c r="FL68" s="67"/>
      <c r="FM68" s="67"/>
      <c r="FN68" s="67"/>
      <c r="FO68" s="67"/>
      <c r="FP68" s="67"/>
      <c r="FQ68" s="67"/>
      <c r="FR68" s="62"/>
      <c r="FS68" s="62"/>
      <c r="FT68" s="62"/>
      <c r="FU68" s="62"/>
      <c r="FV68" s="62"/>
      <c r="FW68" s="62"/>
      <c r="FX68" s="62"/>
      <c r="FY68" s="62"/>
      <c r="FZ68" s="62"/>
      <c r="GA68" s="62"/>
      <c r="GB68" s="62"/>
      <c r="GC68" s="62"/>
      <c r="GD68" s="62"/>
      <c r="GE68" s="62"/>
      <c r="GF68" s="63"/>
      <c r="GG68" s="63"/>
      <c r="GH68" s="62"/>
      <c r="GI68" s="62"/>
      <c r="GJ68" s="62"/>
      <c r="GK68" s="62"/>
      <c r="GL68" s="62"/>
      <c r="GM68" s="62"/>
      <c r="GN68" s="62"/>
      <c r="GO68" s="62"/>
      <c r="GP68" s="62"/>
      <c r="GQ68" s="62"/>
      <c r="GR68" s="62"/>
      <c r="GS68" s="62"/>
      <c r="GT68" s="62"/>
      <c r="GU68" s="62"/>
      <c r="GV68" s="62"/>
      <c r="GW68" s="62"/>
      <c r="GX68" s="62"/>
      <c r="GY68" s="62"/>
      <c r="GZ68" s="62"/>
      <c r="HA68" s="62"/>
      <c r="HB68" s="62"/>
      <c r="HC68" s="62"/>
      <c r="HD68" s="62"/>
      <c r="HE68" s="62"/>
      <c r="HF68" s="62"/>
      <c r="HG68" s="68" t="s">
        <v>257</v>
      </c>
      <c r="HH68" s="62" t="s">
        <v>258</v>
      </c>
      <c r="HI68" s="62"/>
      <c r="HJ68" s="62">
        <v>12</v>
      </c>
      <c r="HK68" s="62" t="s">
        <v>331</v>
      </c>
      <c r="HL68" s="62" t="s">
        <v>332</v>
      </c>
      <c r="HM68" s="62" t="s">
        <v>331</v>
      </c>
      <c r="HN68" s="62" t="s">
        <v>331</v>
      </c>
      <c r="HO68" s="62" t="s">
        <v>331</v>
      </c>
      <c r="HP68" s="70">
        <v>0.86</v>
      </c>
      <c r="HQ68" s="70">
        <v>0</v>
      </c>
      <c r="HR68" s="70">
        <v>0</v>
      </c>
      <c r="HS68" s="70">
        <v>0</v>
      </c>
      <c r="HT68" s="70">
        <v>0.89</v>
      </c>
      <c r="HU68" s="62" t="s">
        <v>286</v>
      </c>
      <c r="HV68" s="62" t="s">
        <v>263</v>
      </c>
      <c r="HW68" s="62"/>
      <c r="HX68" s="62"/>
    </row>
    <row r="69" spans="2:232" hidden="1" x14ac:dyDescent="0.2">
      <c r="B69" s="60">
        <v>19</v>
      </c>
      <c r="C69" s="60">
        <v>12</v>
      </c>
      <c r="D69" s="61" t="s">
        <v>326</v>
      </c>
      <c r="E69" s="62"/>
      <c r="F69" s="62"/>
      <c r="G69" s="62"/>
      <c r="H69" s="62"/>
      <c r="I69" s="62"/>
      <c r="J69" s="61" t="s">
        <v>327</v>
      </c>
      <c r="K69" s="60" t="s">
        <v>326</v>
      </c>
      <c r="L69" s="62" t="s">
        <v>328</v>
      </c>
      <c r="M69" s="63">
        <v>3301</v>
      </c>
      <c r="N69" s="73" t="s">
        <v>329</v>
      </c>
      <c r="O69" s="73"/>
      <c r="P69" s="73"/>
      <c r="Q69" s="73"/>
      <c r="R69" s="73"/>
      <c r="S69" s="71">
        <v>1465303.92</v>
      </c>
      <c r="T69" s="74" t="s">
        <v>254</v>
      </c>
      <c r="U69" s="74">
        <v>219816</v>
      </c>
      <c r="V69" s="74">
        <f>SUM(LIST_LOCATIONDETAILS334[[#This Row],[Building]:[BI]])</f>
        <v>1685119.92</v>
      </c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0" t="s">
        <v>269</v>
      </c>
      <c r="AQ69" s="62"/>
      <c r="AR69" s="62"/>
      <c r="AS69" s="60" t="s">
        <v>330</v>
      </c>
      <c r="AT69" s="60">
        <v>1970</v>
      </c>
      <c r="AU69" s="62"/>
      <c r="AV69" s="63"/>
      <c r="AW69" s="63"/>
      <c r="AX69" s="62"/>
      <c r="AY69" s="62"/>
      <c r="AZ69" s="60">
        <v>2</v>
      </c>
      <c r="BA69" s="60">
        <v>11239</v>
      </c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2"/>
      <c r="CB69" s="62"/>
      <c r="CC69" s="62"/>
      <c r="CD69" s="62"/>
      <c r="CE69" s="62"/>
      <c r="CF69" s="62"/>
      <c r="CG69" s="62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  <c r="EA69" s="62"/>
      <c r="EB69" s="62"/>
      <c r="EC69" s="62"/>
      <c r="ED69" s="62"/>
      <c r="EE69" s="62"/>
      <c r="EF69" s="62"/>
      <c r="EG69" s="62"/>
      <c r="EH69" s="62"/>
      <c r="EI69" s="62"/>
      <c r="EJ69" s="62"/>
      <c r="EK69" s="62"/>
      <c r="EL69" s="62"/>
      <c r="EM69" s="62"/>
      <c r="EN69" s="62"/>
      <c r="EO69" s="62"/>
      <c r="EP69" s="62"/>
      <c r="EQ69" s="62"/>
      <c r="ER69" s="62"/>
      <c r="ES69" s="62"/>
      <c r="ET69" s="62"/>
      <c r="EU69" s="62"/>
      <c r="EV69" s="62"/>
      <c r="EW69" s="62"/>
      <c r="EX69" s="62"/>
      <c r="EY69" s="62"/>
      <c r="EZ69" s="62"/>
      <c r="FA69" s="62"/>
      <c r="FB69" s="62"/>
      <c r="FC69" s="62"/>
      <c r="FD69" s="62"/>
      <c r="FE69" s="62"/>
      <c r="FF69" s="62"/>
      <c r="FG69" s="62"/>
      <c r="FH69" s="62"/>
      <c r="FI69" s="62"/>
      <c r="FJ69" s="67"/>
      <c r="FK69" s="67"/>
      <c r="FL69" s="67"/>
      <c r="FM69" s="67"/>
      <c r="FN69" s="67"/>
      <c r="FO69" s="67"/>
      <c r="FP69" s="67"/>
      <c r="FQ69" s="67"/>
      <c r="FR69" s="62"/>
      <c r="FS69" s="62"/>
      <c r="FT69" s="62"/>
      <c r="FU69" s="62"/>
      <c r="FV69" s="62"/>
      <c r="FW69" s="62"/>
      <c r="FX69" s="62"/>
      <c r="FY69" s="62"/>
      <c r="FZ69" s="62"/>
      <c r="GA69" s="62"/>
      <c r="GB69" s="62"/>
      <c r="GC69" s="62"/>
      <c r="GD69" s="62"/>
      <c r="GE69" s="62"/>
      <c r="GF69" s="63"/>
      <c r="GG69" s="63"/>
      <c r="GH69" s="62"/>
      <c r="GI69" s="62"/>
      <c r="GJ69" s="62"/>
      <c r="GK69" s="62"/>
      <c r="GL69" s="62"/>
      <c r="GM69" s="62"/>
      <c r="GN69" s="62"/>
      <c r="GO69" s="62"/>
      <c r="GP69" s="62"/>
      <c r="GQ69" s="62"/>
      <c r="GR69" s="62"/>
      <c r="GS69" s="62"/>
      <c r="GT69" s="62"/>
      <c r="GU69" s="62"/>
      <c r="GV69" s="62"/>
      <c r="GW69" s="62"/>
      <c r="GX69" s="62"/>
      <c r="GY69" s="62"/>
      <c r="GZ69" s="62"/>
      <c r="HA69" s="62"/>
      <c r="HB69" s="62"/>
      <c r="HC69" s="62"/>
      <c r="HD69" s="62"/>
      <c r="HE69" s="62"/>
      <c r="HF69" s="62"/>
      <c r="HG69" s="68" t="s">
        <v>257</v>
      </c>
      <c r="HH69" s="62" t="s">
        <v>258</v>
      </c>
      <c r="HI69" s="62"/>
      <c r="HJ69" s="62">
        <v>12</v>
      </c>
      <c r="HK69" s="62" t="s">
        <v>331</v>
      </c>
      <c r="HL69" s="62" t="s">
        <v>332</v>
      </c>
      <c r="HM69" s="62" t="s">
        <v>331</v>
      </c>
      <c r="HN69" s="62" t="s">
        <v>331</v>
      </c>
      <c r="HO69" s="62" t="s">
        <v>331</v>
      </c>
      <c r="HP69" s="70">
        <v>0.86</v>
      </c>
      <c r="HQ69" s="70">
        <v>0</v>
      </c>
      <c r="HR69" s="70">
        <v>0</v>
      </c>
      <c r="HS69" s="70">
        <v>0</v>
      </c>
      <c r="HT69" s="70">
        <v>0.89</v>
      </c>
      <c r="HU69" s="62" t="s">
        <v>286</v>
      </c>
      <c r="HV69" s="62" t="s">
        <v>263</v>
      </c>
      <c r="HW69" s="62"/>
      <c r="HX69" s="62"/>
    </row>
    <row r="70" spans="2:232" hidden="1" x14ac:dyDescent="0.2">
      <c r="B70" s="60">
        <v>19</v>
      </c>
      <c r="C70" s="60">
        <v>13</v>
      </c>
      <c r="D70" s="61" t="s">
        <v>326</v>
      </c>
      <c r="E70" s="62"/>
      <c r="F70" s="62"/>
      <c r="G70" s="62"/>
      <c r="H70" s="62"/>
      <c r="I70" s="62"/>
      <c r="J70" s="61" t="s">
        <v>327</v>
      </c>
      <c r="K70" s="60" t="s">
        <v>326</v>
      </c>
      <c r="L70" s="62" t="s">
        <v>328</v>
      </c>
      <c r="M70" s="63">
        <v>3301</v>
      </c>
      <c r="N70" s="73" t="s">
        <v>329</v>
      </c>
      <c r="O70" s="73"/>
      <c r="P70" s="73"/>
      <c r="Q70" s="73"/>
      <c r="R70" s="73"/>
      <c r="S70" s="71">
        <v>1370650.42</v>
      </c>
      <c r="T70" s="74" t="s">
        <v>254</v>
      </c>
      <c r="U70" s="74">
        <v>205617</v>
      </c>
      <c r="V70" s="74">
        <f>SUM(LIST_LOCATIONDETAILS334[[#This Row],[Building]:[BI]])</f>
        <v>1576267.42</v>
      </c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0" t="s">
        <v>269</v>
      </c>
      <c r="AQ70" s="62"/>
      <c r="AR70" s="62"/>
      <c r="AS70" s="60" t="s">
        <v>330</v>
      </c>
      <c r="AT70" s="60">
        <v>1970</v>
      </c>
      <c r="AU70" s="62"/>
      <c r="AV70" s="63"/>
      <c r="AW70" s="63"/>
      <c r="AX70" s="62"/>
      <c r="AY70" s="62"/>
      <c r="AZ70" s="60">
        <v>2</v>
      </c>
      <c r="BA70" s="60">
        <v>10513</v>
      </c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2"/>
      <c r="CB70" s="62"/>
      <c r="CC70" s="62"/>
      <c r="CD70" s="62"/>
      <c r="CE70" s="62"/>
      <c r="CF70" s="62"/>
      <c r="CG70" s="62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  <c r="EA70" s="62"/>
      <c r="EB70" s="62"/>
      <c r="EC70" s="62"/>
      <c r="ED70" s="62"/>
      <c r="EE70" s="62"/>
      <c r="EF70" s="62"/>
      <c r="EG70" s="62"/>
      <c r="EH70" s="62"/>
      <c r="EI70" s="62"/>
      <c r="EJ70" s="62"/>
      <c r="EK70" s="62"/>
      <c r="EL70" s="62"/>
      <c r="EM70" s="62"/>
      <c r="EN70" s="62"/>
      <c r="EO70" s="62"/>
      <c r="EP70" s="62"/>
      <c r="EQ70" s="62"/>
      <c r="ER70" s="62"/>
      <c r="ES70" s="62"/>
      <c r="ET70" s="62"/>
      <c r="EU70" s="62"/>
      <c r="EV70" s="62"/>
      <c r="EW70" s="62"/>
      <c r="EX70" s="62"/>
      <c r="EY70" s="62"/>
      <c r="EZ70" s="62"/>
      <c r="FA70" s="62"/>
      <c r="FB70" s="62"/>
      <c r="FC70" s="62"/>
      <c r="FD70" s="62"/>
      <c r="FE70" s="62"/>
      <c r="FF70" s="62"/>
      <c r="FG70" s="62"/>
      <c r="FH70" s="62"/>
      <c r="FI70" s="62"/>
      <c r="FJ70" s="67"/>
      <c r="FK70" s="67"/>
      <c r="FL70" s="67"/>
      <c r="FM70" s="67"/>
      <c r="FN70" s="67"/>
      <c r="FO70" s="67"/>
      <c r="FP70" s="67"/>
      <c r="FQ70" s="67"/>
      <c r="FR70" s="62"/>
      <c r="FS70" s="62"/>
      <c r="FT70" s="62"/>
      <c r="FU70" s="62"/>
      <c r="FV70" s="62"/>
      <c r="FW70" s="62"/>
      <c r="FX70" s="62"/>
      <c r="FY70" s="62"/>
      <c r="FZ70" s="62"/>
      <c r="GA70" s="62"/>
      <c r="GB70" s="62"/>
      <c r="GC70" s="62"/>
      <c r="GD70" s="62"/>
      <c r="GE70" s="62"/>
      <c r="GF70" s="63"/>
      <c r="GG70" s="63"/>
      <c r="GH70" s="62"/>
      <c r="GI70" s="62"/>
      <c r="GJ70" s="62"/>
      <c r="GK70" s="62"/>
      <c r="GL70" s="62"/>
      <c r="GM70" s="62"/>
      <c r="GN70" s="62"/>
      <c r="GO70" s="62"/>
      <c r="GP70" s="62"/>
      <c r="GQ70" s="62"/>
      <c r="GR70" s="62"/>
      <c r="GS70" s="62"/>
      <c r="GT70" s="62"/>
      <c r="GU70" s="62"/>
      <c r="GV70" s="62"/>
      <c r="GW70" s="62"/>
      <c r="GX70" s="62"/>
      <c r="GY70" s="62"/>
      <c r="GZ70" s="62"/>
      <c r="HA70" s="62"/>
      <c r="HB70" s="62"/>
      <c r="HC70" s="62"/>
      <c r="HD70" s="62"/>
      <c r="HE70" s="62"/>
      <c r="HF70" s="62"/>
      <c r="HG70" s="68" t="s">
        <v>257</v>
      </c>
      <c r="HH70" s="62" t="s">
        <v>258</v>
      </c>
      <c r="HI70" s="62"/>
      <c r="HJ70" s="62">
        <v>12</v>
      </c>
      <c r="HK70" s="62" t="s">
        <v>331</v>
      </c>
      <c r="HL70" s="62" t="s">
        <v>332</v>
      </c>
      <c r="HM70" s="62" t="s">
        <v>331</v>
      </c>
      <c r="HN70" s="62" t="s">
        <v>331</v>
      </c>
      <c r="HO70" s="62" t="s">
        <v>331</v>
      </c>
      <c r="HP70" s="70">
        <v>0.86</v>
      </c>
      <c r="HQ70" s="70">
        <v>0</v>
      </c>
      <c r="HR70" s="70">
        <v>0</v>
      </c>
      <c r="HS70" s="70">
        <v>0</v>
      </c>
      <c r="HT70" s="70">
        <v>0.89</v>
      </c>
      <c r="HU70" s="62" t="s">
        <v>286</v>
      </c>
      <c r="HV70" s="62" t="s">
        <v>263</v>
      </c>
      <c r="HW70" s="62"/>
      <c r="HX70" s="62"/>
    </row>
    <row r="71" spans="2:232" hidden="1" x14ac:dyDescent="0.2">
      <c r="B71" s="60">
        <v>19</v>
      </c>
      <c r="C71" s="60">
        <v>14</v>
      </c>
      <c r="D71" s="61" t="s">
        <v>326</v>
      </c>
      <c r="E71" s="62"/>
      <c r="F71" s="62"/>
      <c r="G71" s="62"/>
      <c r="H71" s="62"/>
      <c r="I71" s="62"/>
      <c r="J71" s="61" t="s">
        <v>327</v>
      </c>
      <c r="K71" s="60" t="s">
        <v>326</v>
      </c>
      <c r="L71" s="62" t="s">
        <v>328</v>
      </c>
      <c r="M71" s="63">
        <v>3301</v>
      </c>
      <c r="N71" s="73" t="s">
        <v>329</v>
      </c>
      <c r="O71" s="73"/>
      <c r="P71" s="73"/>
      <c r="Q71" s="73"/>
      <c r="R71" s="73"/>
      <c r="S71" s="71">
        <v>1465303.92</v>
      </c>
      <c r="T71" s="74" t="s">
        <v>254</v>
      </c>
      <c r="U71" s="74">
        <v>219816</v>
      </c>
      <c r="V71" s="74">
        <f>SUM(LIST_LOCATIONDETAILS334[[#This Row],[Building]:[BI]])</f>
        <v>1685119.92</v>
      </c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0" t="s">
        <v>269</v>
      </c>
      <c r="AQ71" s="62"/>
      <c r="AR71" s="62"/>
      <c r="AS71" s="60" t="s">
        <v>330</v>
      </c>
      <c r="AT71" s="60">
        <v>1970</v>
      </c>
      <c r="AU71" s="62"/>
      <c r="AV71" s="63"/>
      <c r="AW71" s="63"/>
      <c r="AX71" s="62"/>
      <c r="AY71" s="62"/>
      <c r="AZ71" s="60">
        <v>2</v>
      </c>
      <c r="BA71" s="60">
        <v>11239</v>
      </c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  <c r="EA71" s="62"/>
      <c r="EB71" s="62"/>
      <c r="EC71" s="62"/>
      <c r="ED71" s="62"/>
      <c r="EE71" s="62"/>
      <c r="EF71" s="62"/>
      <c r="EG71" s="62"/>
      <c r="EH71" s="62"/>
      <c r="EI71" s="62"/>
      <c r="EJ71" s="62"/>
      <c r="EK71" s="62"/>
      <c r="EL71" s="62"/>
      <c r="EM71" s="62"/>
      <c r="EN71" s="62"/>
      <c r="EO71" s="62"/>
      <c r="EP71" s="62"/>
      <c r="EQ71" s="62"/>
      <c r="ER71" s="62"/>
      <c r="ES71" s="62"/>
      <c r="ET71" s="62"/>
      <c r="EU71" s="62"/>
      <c r="EV71" s="62"/>
      <c r="EW71" s="62"/>
      <c r="EX71" s="62"/>
      <c r="EY71" s="62"/>
      <c r="EZ71" s="62"/>
      <c r="FA71" s="62"/>
      <c r="FB71" s="62"/>
      <c r="FC71" s="62"/>
      <c r="FD71" s="62"/>
      <c r="FE71" s="62"/>
      <c r="FF71" s="62"/>
      <c r="FG71" s="62"/>
      <c r="FH71" s="62"/>
      <c r="FI71" s="62"/>
      <c r="FJ71" s="67"/>
      <c r="FK71" s="67"/>
      <c r="FL71" s="67"/>
      <c r="FM71" s="67"/>
      <c r="FN71" s="67"/>
      <c r="FO71" s="67"/>
      <c r="FP71" s="67"/>
      <c r="FQ71" s="67"/>
      <c r="FR71" s="62"/>
      <c r="FS71" s="62"/>
      <c r="FT71" s="62"/>
      <c r="FU71" s="62"/>
      <c r="FV71" s="62"/>
      <c r="FW71" s="62"/>
      <c r="FX71" s="62"/>
      <c r="FY71" s="62"/>
      <c r="FZ71" s="62"/>
      <c r="GA71" s="62"/>
      <c r="GB71" s="62"/>
      <c r="GC71" s="62"/>
      <c r="GD71" s="62"/>
      <c r="GE71" s="62"/>
      <c r="GF71" s="63"/>
      <c r="GG71" s="63"/>
      <c r="GH71" s="62"/>
      <c r="GI71" s="62"/>
      <c r="GJ71" s="62"/>
      <c r="GK71" s="62"/>
      <c r="GL71" s="62"/>
      <c r="GM71" s="62"/>
      <c r="GN71" s="62"/>
      <c r="GO71" s="62"/>
      <c r="GP71" s="62"/>
      <c r="GQ71" s="62"/>
      <c r="GR71" s="62"/>
      <c r="GS71" s="62"/>
      <c r="GT71" s="62"/>
      <c r="GU71" s="62"/>
      <c r="GV71" s="62"/>
      <c r="GW71" s="62"/>
      <c r="GX71" s="62"/>
      <c r="GY71" s="62"/>
      <c r="GZ71" s="62"/>
      <c r="HA71" s="62"/>
      <c r="HB71" s="62"/>
      <c r="HC71" s="62"/>
      <c r="HD71" s="62"/>
      <c r="HE71" s="62"/>
      <c r="HF71" s="62"/>
      <c r="HG71" s="68" t="s">
        <v>257</v>
      </c>
      <c r="HH71" s="62" t="s">
        <v>258</v>
      </c>
      <c r="HI71" s="62"/>
      <c r="HJ71" s="62">
        <v>12</v>
      </c>
      <c r="HK71" s="62" t="s">
        <v>331</v>
      </c>
      <c r="HL71" s="62" t="s">
        <v>332</v>
      </c>
      <c r="HM71" s="62" t="s">
        <v>331</v>
      </c>
      <c r="HN71" s="62" t="s">
        <v>331</v>
      </c>
      <c r="HO71" s="62" t="s">
        <v>331</v>
      </c>
      <c r="HP71" s="70">
        <v>0.86</v>
      </c>
      <c r="HQ71" s="70">
        <v>0</v>
      </c>
      <c r="HR71" s="70">
        <v>0</v>
      </c>
      <c r="HS71" s="70">
        <v>0</v>
      </c>
      <c r="HT71" s="70">
        <v>0.89</v>
      </c>
      <c r="HU71" s="62" t="s">
        <v>286</v>
      </c>
      <c r="HV71" s="62" t="s">
        <v>263</v>
      </c>
      <c r="HW71" s="62"/>
      <c r="HX71" s="62"/>
    </row>
    <row r="72" spans="2:232" hidden="1" x14ac:dyDescent="0.2">
      <c r="B72" s="60">
        <v>19</v>
      </c>
      <c r="C72" s="60">
        <v>15</v>
      </c>
      <c r="D72" s="61" t="s">
        <v>326</v>
      </c>
      <c r="E72" s="62"/>
      <c r="F72" s="62"/>
      <c r="G72" s="62"/>
      <c r="H72" s="62"/>
      <c r="I72" s="62"/>
      <c r="J72" s="61" t="s">
        <v>327</v>
      </c>
      <c r="K72" s="60" t="s">
        <v>326</v>
      </c>
      <c r="L72" s="62" t="s">
        <v>328</v>
      </c>
      <c r="M72" s="63">
        <v>3301</v>
      </c>
      <c r="N72" s="73" t="s">
        <v>329</v>
      </c>
      <c r="O72" s="73"/>
      <c r="P72" s="73"/>
      <c r="Q72" s="73"/>
      <c r="R72" s="73"/>
      <c r="S72" s="71">
        <v>1698026.36</v>
      </c>
      <c r="T72" s="74" t="s">
        <v>254</v>
      </c>
      <c r="U72" s="74">
        <v>254728</v>
      </c>
      <c r="V72" s="74">
        <f>SUM(LIST_LOCATIONDETAILS334[[#This Row],[Building]:[BI]])</f>
        <v>1952754.36</v>
      </c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0" t="s">
        <v>269</v>
      </c>
      <c r="AQ72" s="62"/>
      <c r="AR72" s="62"/>
      <c r="AS72" s="60" t="s">
        <v>330</v>
      </c>
      <c r="AT72" s="60">
        <v>1970</v>
      </c>
      <c r="AU72" s="62"/>
      <c r="AV72" s="63"/>
      <c r="AW72" s="63"/>
      <c r="AX72" s="62"/>
      <c r="AY72" s="62"/>
      <c r="AZ72" s="60">
        <v>2</v>
      </c>
      <c r="BA72" s="60">
        <v>13024</v>
      </c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2"/>
      <c r="CB72" s="62"/>
      <c r="CC72" s="62"/>
      <c r="CD72" s="62"/>
      <c r="CE72" s="62"/>
      <c r="CF72" s="62"/>
      <c r="CG72" s="62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  <c r="EA72" s="62"/>
      <c r="EB72" s="62"/>
      <c r="EC72" s="62"/>
      <c r="ED72" s="62"/>
      <c r="EE72" s="62"/>
      <c r="EF72" s="62"/>
      <c r="EG72" s="62"/>
      <c r="EH72" s="62"/>
      <c r="EI72" s="62"/>
      <c r="EJ72" s="62"/>
      <c r="EK72" s="62"/>
      <c r="EL72" s="62"/>
      <c r="EM72" s="62"/>
      <c r="EN72" s="62"/>
      <c r="EO72" s="62"/>
      <c r="EP72" s="62"/>
      <c r="EQ72" s="62"/>
      <c r="ER72" s="62"/>
      <c r="ES72" s="62"/>
      <c r="ET72" s="62"/>
      <c r="EU72" s="62"/>
      <c r="EV72" s="62"/>
      <c r="EW72" s="62"/>
      <c r="EX72" s="62"/>
      <c r="EY72" s="62"/>
      <c r="EZ72" s="62"/>
      <c r="FA72" s="62"/>
      <c r="FB72" s="62"/>
      <c r="FC72" s="62"/>
      <c r="FD72" s="62"/>
      <c r="FE72" s="62"/>
      <c r="FF72" s="62"/>
      <c r="FG72" s="62"/>
      <c r="FH72" s="62"/>
      <c r="FI72" s="62"/>
      <c r="FJ72" s="67"/>
      <c r="FK72" s="67"/>
      <c r="FL72" s="67"/>
      <c r="FM72" s="67"/>
      <c r="FN72" s="67"/>
      <c r="FO72" s="67"/>
      <c r="FP72" s="67"/>
      <c r="FQ72" s="67"/>
      <c r="FR72" s="62"/>
      <c r="FS72" s="62"/>
      <c r="FT72" s="62"/>
      <c r="FU72" s="62"/>
      <c r="FV72" s="62"/>
      <c r="FW72" s="62"/>
      <c r="FX72" s="62"/>
      <c r="FY72" s="62"/>
      <c r="FZ72" s="62"/>
      <c r="GA72" s="62"/>
      <c r="GB72" s="62"/>
      <c r="GC72" s="62"/>
      <c r="GD72" s="62"/>
      <c r="GE72" s="62"/>
      <c r="GF72" s="63"/>
      <c r="GG72" s="63"/>
      <c r="GH72" s="62"/>
      <c r="GI72" s="62"/>
      <c r="GJ72" s="62"/>
      <c r="GK72" s="62"/>
      <c r="GL72" s="62"/>
      <c r="GM72" s="62"/>
      <c r="GN72" s="62"/>
      <c r="GO72" s="62"/>
      <c r="GP72" s="62"/>
      <c r="GQ72" s="62"/>
      <c r="GR72" s="62"/>
      <c r="GS72" s="62"/>
      <c r="GT72" s="62"/>
      <c r="GU72" s="62"/>
      <c r="GV72" s="62"/>
      <c r="GW72" s="62"/>
      <c r="GX72" s="62"/>
      <c r="GY72" s="62"/>
      <c r="GZ72" s="62"/>
      <c r="HA72" s="62"/>
      <c r="HB72" s="62"/>
      <c r="HC72" s="62"/>
      <c r="HD72" s="62"/>
      <c r="HE72" s="62"/>
      <c r="HF72" s="62"/>
      <c r="HG72" s="68" t="s">
        <v>257</v>
      </c>
      <c r="HH72" s="62" t="s">
        <v>258</v>
      </c>
      <c r="HI72" s="62"/>
      <c r="HJ72" s="62">
        <v>14</v>
      </c>
      <c r="HK72" s="62" t="s">
        <v>331</v>
      </c>
      <c r="HL72" s="62" t="s">
        <v>332</v>
      </c>
      <c r="HM72" s="62" t="s">
        <v>331</v>
      </c>
      <c r="HN72" s="62" t="s">
        <v>331</v>
      </c>
      <c r="HO72" s="62" t="s">
        <v>331</v>
      </c>
      <c r="HP72" s="70">
        <v>0.86</v>
      </c>
      <c r="HQ72" s="70">
        <v>0</v>
      </c>
      <c r="HR72" s="70">
        <v>0</v>
      </c>
      <c r="HS72" s="70">
        <v>0</v>
      </c>
      <c r="HT72" s="70">
        <v>0.89</v>
      </c>
      <c r="HU72" s="62" t="s">
        <v>286</v>
      </c>
      <c r="HV72" s="62" t="s">
        <v>263</v>
      </c>
      <c r="HW72" s="62"/>
      <c r="HX72" s="62"/>
    </row>
    <row r="73" spans="2:232" hidden="1" x14ac:dyDescent="0.2">
      <c r="B73" s="60">
        <v>19</v>
      </c>
      <c r="C73" s="60">
        <v>16</v>
      </c>
      <c r="D73" s="61" t="s">
        <v>326</v>
      </c>
      <c r="E73" s="62"/>
      <c r="F73" s="62"/>
      <c r="G73" s="62"/>
      <c r="H73" s="62"/>
      <c r="I73" s="62"/>
      <c r="J73" s="61" t="s">
        <v>327</v>
      </c>
      <c r="K73" s="60" t="s">
        <v>326</v>
      </c>
      <c r="L73" s="62" t="s">
        <v>328</v>
      </c>
      <c r="M73" s="63">
        <v>3301</v>
      </c>
      <c r="N73" s="73" t="s">
        <v>329</v>
      </c>
      <c r="O73" s="73"/>
      <c r="P73" s="73"/>
      <c r="Q73" s="73"/>
      <c r="R73" s="73"/>
      <c r="S73" s="71">
        <v>1370650.42</v>
      </c>
      <c r="T73" s="74" t="s">
        <v>254</v>
      </c>
      <c r="U73" s="74">
        <v>205617</v>
      </c>
      <c r="V73" s="74">
        <f>SUM(LIST_LOCATIONDETAILS334[[#This Row],[Building]:[BI]])</f>
        <v>1576267.42</v>
      </c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0" t="s">
        <v>269</v>
      </c>
      <c r="AQ73" s="62"/>
      <c r="AR73" s="62"/>
      <c r="AS73" s="60" t="s">
        <v>330</v>
      </c>
      <c r="AT73" s="60">
        <v>1970</v>
      </c>
      <c r="AU73" s="62"/>
      <c r="AV73" s="63"/>
      <c r="AW73" s="63"/>
      <c r="AX73" s="62"/>
      <c r="AY73" s="62"/>
      <c r="AZ73" s="60">
        <v>2</v>
      </c>
      <c r="BA73" s="60">
        <v>10513</v>
      </c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2"/>
      <c r="CB73" s="62"/>
      <c r="CC73" s="62"/>
      <c r="CD73" s="62"/>
      <c r="CE73" s="62"/>
      <c r="CF73" s="62"/>
      <c r="CG73" s="62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  <c r="EA73" s="62"/>
      <c r="EB73" s="62"/>
      <c r="EC73" s="62"/>
      <c r="ED73" s="62"/>
      <c r="EE73" s="62"/>
      <c r="EF73" s="62"/>
      <c r="EG73" s="62"/>
      <c r="EH73" s="62"/>
      <c r="EI73" s="62"/>
      <c r="EJ73" s="62"/>
      <c r="EK73" s="62"/>
      <c r="EL73" s="62"/>
      <c r="EM73" s="62"/>
      <c r="EN73" s="62"/>
      <c r="EO73" s="62"/>
      <c r="EP73" s="62"/>
      <c r="EQ73" s="62"/>
      <c r="ER73" s="62"/>
      <c r="ES73" s="62"/>
      <c r="ET73" s="62"/>
      <c r="EU73" s="62"/>
      <c r="EV73" s="62"/>
      <c r="EW73" s="62"/>
      <c r="EX73" s="62"/>
      <c r="EY73" s="62"/>
      <c r="EZ73" s="62"/>
      <c r="FA73" s="62"/>
      <c r="FB73" s="62"/>
      <c r="FC73" s="62"/>
      <c r="FD73" s="62"/>
      <c r="FE73" s="62"/>
      <c r="FF73" s="62"/>
      <c r="FG73" s="62"/>
      <c r="FH73" s="62"/>
      <c r="FI73" s="62"/>
      <c r="FJ73" s="67"/>
      <c r="FK73" s="67"/>
      <c r="FL73" s="67"/>
      <c r="FM73" s="67"/>
      <c r="FN73" s="67"/>
      <c r="FO73" s="67"/>
      <c r="FP73" s="67"/>
      <c r="FQ73" s="67"/>
      <c r="FR73" s="62"/>
      <c r="FS73" s="62"/>
      <c r="FT73" s="62"/>
      <c r="FU73" s="62"/>
      <c r="FV73" s="62"/>
      <c r="FW73" s="62"/>
      <c r="FX73" s="62"/>
      <c r="FY73" s="62"/>
      <c r="FZ73" s="62"/>
      <c r="GA73" s="62"/>
      <c r="GB73" s="62"/>
      <c r="GC73" s="62"/>
      <c r="GD73" s="62"/>
      <c r="GE73" s="62"/>
      <c r="GF73" s="63"/>
      <c r="GG73" s="63"/>
      <c r="GH73" s="62"/>
      <c r="GI73" s="62"/>
      <c r="GJ73" s="62"/>
      <c r="GK73" s="62"/>
      <c r="GL73" s="62"/>
      <c r="GM73" s="62"/>
      <c r="GN73" s="62"/>
      <c r="GO73" s="62"/>
      <c r="GP73" s="62"/>
      <c r="GQ73" s="62"/>
      <c r="GR73" s="62"/>
      <c r="GS73" s="62"/>
      <c r="GT73" s="62"/>
      <c r="GU73" s="62"/>
      <c r="GV73" s="62"/>
      <c r="GW73" s="62"/>
      <c r="GX73" s="62"/>
      <c r="GY73" s="62"/>
      <c r="GZ73" s="62"/>
      <c r="HA73" s="62"/>
      <c r="HB73" s="62"/>
      <c r="HC73" s="62"/>
      <c r="HD73" s="62"/>
      <c r="HE73" s="62"/>
      <c r="HF73" s="62"/>
      <c r="HG73" s="68" t="s">
        <v>257</v>
      </c>
      <c r="HH73" s="62" t="s">
        <v>258</v>
      </c>
      <c r="HI73" s="62"/>
      <c r="HJ73" s="62">
        <v>12</v>
      </c>
      <c r="HK73" s="62" t="s">
        <v>331</v>
      </c>
      <c r="HL73" s="62" t="s">
        <v>332</v>
      </c>
      <c r="HM73" s="62" t="s">
        <v>331</v>
      </c>
      <c r="HN73" s="62" t="s">
        <v>331</v>
      </c>
      <c r="HO73" s="62" t="s">
        <v>331</v>
      </c>
      <c r="HP73" s="70">
        <v>0.86</v>
      </c>
      <c r="HQ73" s="70">
        <v>0</v>
      </c>
      <c r="HR73" s="70">
        <v>0</v>
      </c>
      <c r="HS73" s="70">
        <v>0</v>
      </c>
      <c r="HT73" s="70">
        <v>0.89</v>
      </c>
      <c r="HU73" s="62" t="s">
        <v>286</v>
      </c>
      <c r="HV73" s="62" t="s">
        <v>263</v>
      </c>
      <c r="HW73" s="62"/>
      <c r="HX73" s="62"/>
    </row>
    <row r="74" spans="2:232" hidden="1" x14ac:dyDescent="0.2">
      <c r="B74" s="60">
        <v>19</v>
      </c>
      <c r="C74" s="60">
        <v>17</v>
      </c>
      <c r="D74" s="61" t="s">
        <v>326</v>
      </c>
      <c r="E74" s="62"/>
      <c r="F74" s="62"/>
      <c r="G74" s="62"/>
      <c r="H74" s="62"/>
      <c r="I74" s="62"/>
      <c r="J74" s="61" t="s">
        <v>327</v>
      </c>
      <c r="K74" s="60" t="s">
        <v>326</v>
      </c>
      <c r="L74" s="62" t="s">
        <v>328</v>
      </c>
      <c r="M74" s="63">
        <v>3301</v>
      </c>
      <c r="N74" s="73" t="s">
        <v>329</v>
      </c>
      <c r="O74" s="73"/>
      <c r="P74" s="73"/>
      <c r="Q74" s="73"/>
      <c r="R74" s="73"/>
      <c r="S74" s="71">
        <v>1370650.42</v>
      </c>
      <c r="T74" s="74" t="s">
        <v>254</v>
      </c>
      <c r="U74" s="74">
        <v>205617</v>
      </c>
      <c r="V74" s="74">
        <f>SUM(LIST_LOCATIONDETAILS334[[#This Row],[Building]:[BI]])</f>
        <v>1576267.42</v>
      </c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0" t="s">
        <v>269</v>
      </c>
      <c r="AQ74" s="62"/>
      <c r="AR74" s="62"/>
      <c r="AS74" s="60" t="s">
        <v>330</v>
      </c>
      <c r="AT74" s="60">
        <v>1970</v>
      </c>
      <c r="AU74" s="62"/>
      <c r="AV74" s="63"/>
      <c r="AW74" s="63"/>
      <c r="AX74" s="62"/>
      <c r="AY74" s="62"/>
      <c r="AZ74" s="60">
        <v>2</v>
      </c>
      <c r="BA74" s="60">
        <v>10513</v>
      </c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2"/>
      <c r="CB74" s="62"/>
      <c r="CC74" s="62"/>
      <c r="CD74" s="62"/>
      <c r="CE74" s="62"/>
      <c r="CF74" s="62"/>
      <c r="CG74" s="62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  <c r="EA74" s="62"/>
      <c r="EB74" s="62"/>
      <c r="EC74" s="62"/>
      <c r="ED74" s="62"/>
      <c r="EE74" s="62"/>
      <c r="EF74" s="62"/>
      <c r="EG74" s="62"/>
      <c r="EH74" s="62"/>
      <c r="EI74" s="62"/>
      <c r="EJ74" s="62"/>
      <c r="EK74" s="62"/>
      <c r="EL74" s="62"/>
      <c r="EM74" s="62"/>
      <c r="EN74" s="62"/>
      <c r="EO74" s="62"/>
      <c r="EP74" s="62"/>
      <c r="EQ74" s="62"/>
      <c r="ER74" s="62"/>
      <c r="ES74" s="62"/>
      <c r="ET74" s="62"/>
      <c r="EU74" s="62"/>
      <c r="EV74" s="62"/>
      <c r="EW74" s="62"/>
      <c r="EX74" s="62"/>
      <c r="EY74" s="62"/>
      <c r="EZ74" s="62"/>
      <c r="FA74" s="62"/>
      <c r="FB74" s="62"/>
      <c r="FC74" s="62"/>
      <c r="FD74" s="62"/>
      <c r="FE74" s="62"/>
      <c r="FF74" s="62"/>
      <c r="FG74" s="62"/>
      <c r="FH74" s="62"/>
      <c r="FI74" s="62"/>
      <c r="FJ74" s="67"/>
      <c r="FK74" s="67"/>
      <c r="FL74" s="67"/>
      <c r="FM74" s="67"/>
      <c r="FN74" s="67"/>
      <c r="FO74" s="67"/>
      <c r="FP74" s="67"/>
      <c r="FQ74" s="67"/>
      <c r="FR74" s="62"/>
      <c r="FS74" s="62"/>
      <c r="FT74" s="62"/>
      <c r="FU74" s="62"/>
      <c r="FV74" s="62"/>
      <c r="FW74" s="62"/>
      <c r="FX74" s="62"/>
      <c r="FY74" s="62"/>
      <c r="FZ74" s="62"/>
      <c r="GA74" s="62"/>
      <c r="GB74" s="62"/>
      <c r="GC74" s="62"/>
      <c r="GD74" s="62"/>
      <c r="GE74" s="62"/>
      <c r="GF74" s="63"/>
      <c r="GG74" s="63"/>
      <c r="GH74" s="62"/>
      <c r="GI74" s="62"/>
      <c r="GJ74" s="62"/>
      <c r="GK74" s="62"/>
      <c r="GL74" s="62"/>
      <c r="GM74" s="62"/>
      <c r="GN74" s="62"/>
      <c r="GO74" s="62"/>
      <c r="GP74" s="62"/>
      <c r="GQ74" s="62"/>
      <c r="GR74" s="62"/>
      <c r="GS74" s="62"/>
      <c r="GT74" s="62"/>
      <c r="GU74" s="62"/>
      <c r="GV74" s="62"/>
      <c r="GW74" s="62"/>
      <c r="GX74" s="62"/>
      <c r="GY74" s="62"/>
      <c r="GZ74" s="62"/>
      <c r="HA74" s="62"/>
      <c r="HB74" s="62"/>
      <c r="HC74" s="62"/>
      <c r="HD74" s="62"/>
      <c r="HE74" s="62"/>
      <c r="HF74" s="62"/>
      <c r="HG74" s="68" t="s">
        <v>257</v>
      </c>
      <c r="HH74" s="62" t="s">
        <v>258</v>
      </c>
      <c r="HI74" s="62"/>
      <c r="HJ74" s="62">
        <v>12</v>
      </c>
      <c r="HK74" s="62" t="s">
        <v>331</v>
      </c>
      <c r="HL74" s="62" t="s">
        <v>332</v>
      </c>
      <c r="HM74" s="62" t="s">
        <v>331</v>
      </c>
      <c r="HN74" s="62" t="s">
        <v>331</v>
      </c>
      <c r="HO74" s="62" t="s">
        <v>331</v>
      </c>
      <c r="HP74" s="70">
        <v>0.86</v>
      </c>
      <c r="HQ74" s="70">
        <v>0</v>
      </c>
      <c r="HR74" s="70">
        <v>0</v>
      </c>
      <c r="HS74" s="70">
        <v>0</v>
      </c>
      <c r="HT74" s="70">
        <v>0.89</v>
      </c>
      <c r="HU74" s="62" t="s">
        <v>286</v>
      </c>
      <c r="HV74" s="62" t="s">
        <v>263</v>
      </c>
      <c r="HW74" s="62"/>
      <c r="HX74" s="62"/>
    </row>
    <row r="75" spans="2:232" hidden="1" x14ac:dyDescent="0.2">
      <c r="B75" s="60">
        <v>19</v>
      </c>
      <c r="C75" s="60">
        <v>18</v>
      </c>
      <c r="D75" s="61" t="s">
        <v>326</v>
      </c>
      <c r="E75" s="62"/>
      <c r="F75" s="62"/>
      <c r="G75" s="62"/>
      <c r="H75" s="62"/>
      <c r="I75" s="62"/>
      <c r="J75" s="61" t="s">
        <v>327</v>
      </c>
      <c r="K75" s="60" t="s">
        <v>326</v>
      </c>
      <c r="L75" s="62" t="s">
        <v>328</v>
      </c>
      <c r="M75" s="63">
        <v>3301</v>
      </c>
      <c r="N75" s="73" t="s">
        <v>329</v>
      </c>
      <c r="O75" s="73"/>
      <c r="P75" s="73"/>
      <c r="Q75" s="73"/>
      <c r="R75" s="73"/>
      <c r="S75" s="71">
        <v>1465303.92</v>
      </c>
      <c r="T75" s="74" t="s">
        <v>254</v>
      </c>
      <c r="U75" s="74">
        <v>219816</v>
      </c>
      <c r="V75" s="74">
        <f>SUM(LIST_LOCATIONDETAILS334[[#This Row],[Building]:[BI]])</f>
        <v>1685119.92</v>
      </c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0" t="s">
        <v>269</v>
      </c>
      <c r="AQ75" s="62"/>
      <c r="AR75" s="62"/>
      <c r="AS75" s="60" t="s">
        <v>330</v>
      </c>
      <c r="AT75" s="60">
        <v>1970</v>
      </c>
      <c r="AU75" s="62"/>
      <c r="AV75" s="63"/>
      <c r="AW75" s="63"/>
      <c r="AX75" s="62"/>
      <c r="AY75" s="62"/>
      <c r="AZ75" s="60">
        <v>2</v>
      </c>
      <c r="BA75" s="60">
        <v>11239</v>
      </c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2"/>
      <c r="CB75" s="62"/>
      <c r="CC75" s="62"/>
      <c r="CD75" s="62"/>
      <c r="CE75" s="62"/>
      <c r="CF75" s="62"/>
      <c r="CG75" s="62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  <c r="EA75" s="62"/>
      <c r="EB75" s="62"/>
      <c r="EC75" s="62"/>
      <c r="ED75" s="62"/>
      <c r="EE75" s="62"/>
      <c r="EF75" s="62"/>
      <c r="EG75" s="62"/>
      <c r="EH75" s="62"/>
      <c r="EI75" s="62"/>
      <c r="EJ75" s="62"/>
      <c r="EK75" s="62"/>
      <c r="EL75" s="62"/>
      <c r="EM75" s="62"/>
      <c r="EN75" s="62"/>
      <c r="EO75" s="62"/>
      <c r="EP75" s="62"/>
      <c r="EQ75" s="62"/>
      <c r="ER75" s="62"/>
      <c r="ES75" s="62"/>
      <c r="ET75" s="62"/>
      <c r="EU75" s="62"/>
      <c r="EV75" s="62"/>
      <c r="EW75" s="62"/>
      <c r="EX75" s="62"/>
      <c r="EY75" s="62"/>
      <c r="EZ75" s="62"/>
      <c r="FA75" s="62"/>
      <c r="FB75" s="62"/>
      <c r="FC75" s="62"/>
      <c r="FD75" s="62"/>
      <c r="FE75" s="62"/>
      <c r="FF75" s="62"/>
      <c r="FG75" s="62"/>
      <c r="FH75" s="62"/>
      <c r="FI75" s="62"/>
      <c r="FJ75" s="67"/>
      <c r="FK75" s="67"/>
      <c r="FL75" s="67"/>
      <c r="FM75" s="67"/>
      <c r="FN75" s="67"/>
      <c r="FO75" s="67"/>
      <c r="FP75" s="67"/>
      <c r="FQ75" s="67"/>
      <c r="FR75" s="62"/>
      <c r="FS75" s="62"/>
      <c r="FT75" s="62"/>
      <c r="FU75" s="62"/>
      <c r="FV75" s="62"/>
      <c r="FW75" s="62"/>
      <c r="FX75" s="62"/>
      <c r="FY75" s="62"/>
      <c r="FZ75" s="62"/>
      <c r="GA75" s="62"/>
      <c r="GB75" s="62"/>
      <c r="GC75" s="62"/>
      <c r="GD75" s="62"/>
      <c r="GE75" s="62"/>
      <c r="GF75" s="63"/>
      <c r="GG75" s="63"/>
      <c r="GH75" s="62"/>
      <c r="GI75" s="62"/>
      <c r="GJ75" s="62"/>
      <c r="GK75" s="62"/>
      <c r="GL75" s="62"/>
      <c r="GM75" s="62"/>
      <c r="GN75" s="62"/>
      <c r="GO75" s="62"/>
      <c r="GP75" s="62"/>
      <c r="GQ75" s="62"/>
      <c r="GR75" s="62"/>
      <c r="GS75" s="62"/>
      <c r="GT75" s="62"/>
      <c r="GU75" s="62"/>
      <c r="GV75" s="62"/>
      <c r="GW75" s="62"/>
      <c r="GX75" s="62"/>
      <c r="GY75" s="62"/>
      <c r="GZ75" s="62"/>
      <c r="HA75" s="62"/>
      <c r="HB75" s="62"/>
      <c r="HC75" s="62"/>
      <c r="HD75" s="62"/>
      <c r="HE75" s="62"/>
      <c r="HF75" s="62"/>
      <c r="HG75" s="68" t="s">
        <v>257</v>
      </c>
      <c r="HH75" s="62" t="s">
        <v>258</v>
      </c>
      <c r="HI75" s="62"/>
      <c r="HJ75" s="62">
        <v>12</v>
      </c>
      <c r="HK75" s="62" t="s">
        <v>331</v>
      </c>
      <c r="HL75" s="62" t="s">
        <v>332</v>
      </c>
      <c r="HM75" s="62" t="s">
        <v>331</v>
      </c>
      <c r="HN75" s="62" t="s">
        <v>331</v>
      </c>
      <c r="HO75" s="62" t="s">
        <v>331</v>
      </c>
      <c r="HP75" s="70">
        <v>0.86</v>
      </c>
      <c r="HQ75" s="70">
        <v>0</v>
      </c>
      <c r="HR75" s="70">
        <v>0</v>
      </c>
      <c r="HS75" s="70">
        <v>0</v>
      </c>
      <c r="HT75" s="70">
        <v>0.89</v>
      </c>
      <c r="HU75" s="62" t="s">
        <v>286</v>
      </c>
      <c r="HV75" s="62" t="s">
        <v>263</v>
      </c>
      <c r="HW75" s="62"/>
      <c r="HX75" s="62"/>
    </row>
    <row r="76" spans="2:232" hidden="1" x14ac:dyDescent="0.2">
      <c r="B76" s="60">
        <v>19</v>
      </c>
      <c r="C76" s="60">
        <v>19</v>
      </c>
      <c r="D76" s="61" t="s">
        <v>326</v>
      </c>
      <c r="E76" s="62"/>
      <c r="F76" s="62"/>
      <c r="G76" s="62"/>
      <c r="H76" s="62"/>
      <c r="I76" s="62"/>
      <c r="J76" s="61" t="s">
        <v>327</v>
      </c>
      <c r="K76" s="60" t="s">
        <v>326</v>
      </c>
      <c r="L76" s="62" t="s">
        <v>328</v>
      </c>
      <c r="M76" s="63">
        <v>3301</v>
      </c>
      <c r="N76" s="73" t="s">
        <v>329</v>
      </c>
      <c r="O76" s="73"/>
      <c r="P76" s="73"/>
      <c r="Q76" s="73"/>
      <c r="R76" s="73"/>
      <c r="S76" s="71">
        <v>976782.36</v>
      </c>
      <c r="T76" s="74" t="s">
        <v>254</v>
      </c>
      <c r="U76" s="74">
        <v>146531</v>
      </c>
      <c r="V76" s="74">
        <f>SUM(LIST_LOCATIONDETAILS334[[#This Row],[Building]:[BI]])</f>
        <v>1123313.3599999999</v>
      </c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0" t="s">
        <v>269</v>
      </c>
      <c r="AQ76" s="62"/>
      <c r="AR76" s="62"/>
      <c r="AS76" s="60" t="s">
        <v>330</v>
      </c>
      <c r="AT76" s="60">
        <v>1970</v>
      </c>
      <c r="AU76" s="62"/>
      <c r="AV76" s="63"/>
      <c r="AW76" s="63"/>
      <c r="AX76" s="62"/>
      <c r="AY76" s="62"/>
      <c r="AZ76" s="60">
        <v>2</v>
      </c>
      <c r="BA76" s="60">
        <v>7492</v>
      </c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2"/>
      <c r="CB76" s="62"/>
      <c r="CC76" s="62"/>
      <c r="CD76" s="62"/>
      <c r="CE76" s="62"/>
      <c r="CF76" s="62"/>
      <c r="CG76" s="62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  <c r="EA76" s="62"/>
      <c r="EB76" s="62"/>
      <c r="EC76" s="62"/>
      <c r="ED76" s="62"/>
      <c r="EE76" s="62"/>
      <c r="EF76" s="62"/>
      <c r="EG76" s="62"/>
      <c r="EH76" s="62"/>
      <c r="EI76" s="62"/>
      <c r="EJ76" s="62"/>
      <c r="EK76" s="62"/>
      <c r="EL76" s="62"/>
      <c r="EM76" s="62"/>
      <c r="EN76" s="62"/>
      <c r="EO76" s="62"/>
      <c r="EP76" s="62"/>
      <c r="EQ76" s="62"/>
      <c r="ER76" s="62"/>
      <c r="ES76" s="62"/>
      <c r="ET76" s="62"/>
      <c r="EU76" s="62"/>
      <c r="EV76" s="62"/>
      <c r="EW76" s="62"/>
      <c r="EX76" s="62"/>
      <c r="EY76" s="62"/>
      <c r="EZ76" s="62"/>
      <c r="FA76" s="62"/>
      <c r="FB76" s="62"/>
      <c r="FC76" s="62"/>
      <c r="FD76" s="62"/>
      <c r="FE76" s="62"/>
      <c r="FF76" s="62"/>
      <c r="FG76" s="62"/>
      <c r="FH76" s="62"/>
      <c r="FI76" s="62"/>
      <c r="FJ76" s="67"/>
      <c r="FK76" s="67"/>
      <c r="FL76" s="67"/>
      <c r="FM76" s="67"/>
      <c r="FN76" s="67"/>
      <c r="FO76" s="67"/>
      <c r="FP76" s="67"/>
      <c r="FQ76" s="67"/>
      <c r="FR76" s="62"/>
      <c r="FS76" s="62"/>
      <c r="FT76" s="62"/>
      <c r="FU76" s="62"/>
      <c r="FV76" s="62"/>
      <c r="FW76" s="62"/>
      <c r="FX76" s="62"/>
      <c r="FY76" s="62"/>
      <c r="FZ76" s="62"/>
      <c r="GA76" s="62"/>
      <c r="GB76" s="62"/>
      <c r="GC76" s="62"/>
      <c r="GD76" s="62"/>
      <c r="GE76" s="62"/>
      <c r="GF76" s="63"/>
      <c r="GG76" s="63"/>
      <c r="GH76" s="62"/>
      <c r="GI76" s="62"/>
      <c r="GJ76" s="62"/>
      <c r="GK76" s="62"/>
      <c r="GL76" s="62"/>
      <c r="GM76" s="62"/>
      <c r="GN76" s="62"/>
      <c r="GO76" s="62"/>
      <c r="GP76" s="62"/>
      <c r="GQ76" s="62"/>
      <c r="GR76" s="62"/>
      <c r="GS76" s="62"/>
      <c r="GT76" s="62"/>
      <c r="GU76" s="62"/>
      <c r="GV76" s="62"/>
      <c r="GW76" s="62"/>
      <c r="GX76" s="62"/>
      <c r="GY76" s="62"/>
      <c r="GZ76" s="62"/>
      <c r="HA76" s="62"/>
      <c r="HB76" s="62"/>
      <c r="HC76" s="62"/>
      <c r="HD76" s="62"/>
      <c r="HE76" s="62"/>
      <c r="HF76" s="62"/>
      <c r="HG76" s="68" t="s">
        <v>257</v>
      </c>
      <c r="HH76" s="62" t="s">
        <v>258</v>
      </c>
      <c r="HI76" s="62"/>
      <c r="HJ76" s="62">
        <v>8</v>
      </c>
      <c r="HK76" s="62" t="s">
        <v>331</v>
      </c>
      <c r="HL76" s="62" t="s">
        <v>332</v>
      </c>
      <c r="HM76" s="62" t="s">
        <v>331</v>
      </c>
      <c r="HN76" s="62" t="s">
        <v>331</v>
      </c>
      <c r="HO76" s="62" t="s">
        <v>331</v>
      </c>
      <c r="HP76" s="70">
        <v>0.86</v>
      </c>
      <c r="HQ76" s="70">
        <v>0</v>
      </c>
      <c r="HR76" s="70">
        <v>0</v>
      </c>
      <c r="HS76" s="70">
        <v>0</v>
      </c>
      <c r="HT76" s="70">
        <v>0.89</v>
      </c>
      <c r="HU76" s="62" t="s">
        <v>286</v>
      </c>
      <c r="HV76" s="62" t="s">
        <v>263</v>
      </c>
      <c r="HW76" s="62"/>
      <c r="HX76" s="62"/>
    </row>
    <row r="77" spans="2:232" hidden="1" x14ac:dyDescent="0.2">
      <c r="B77" s="60">
        <v>19</v>
      </c>
      <c r="C77" s="60">
        <v>20</v>
      </c>
      <c r="D77" s="61" t="s">
        <v>326</v>
      </c>
      <c r="E77" s="62"/>
      <c r="F77" s="62"/>
      <c r="G77" s="62"/>
      <c r="H77" s="62"/>
      <c r="I77" s="62"/>
      <c r="J77" s="61" t="s">
        <v>327</v>
      </c>
      <c r="K77" s="60" t="s">
        <v>326</v>
      </c>
      <c r="L77" s="62" t="s">
        <v>328</v>
      </c>
      <c r="M77" s="63">
        <v>3301</v>
      </c>
      <c r="N77" s="73" t="s">
        <v>329</v>
      </c>
      <c r="O77" s="73"/>
      <c r="P77" s="73"/>
      <c r="Q77" s="73"/>
      <c r="R77" s="73"/>
      <c r="S77" s="71">
        <v>976782.36</v>
      </c>
      <c r="T77" s="74" t="s">
        <v>254</v>
      </c>
      <c r="U77" s="74">
        <v>146531</v>
      </c>
      <c r="V77" s="74">
        <f>SUM(LIST_LOCATIONDETAILS334[[#This Row],[Building]:[BI]])</f>
        <v>1123313.3599999999</v>
      </c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0" t="s">
        <v>269</v>
      </c>
      <c r="AQ77" s="62"/>
      <c r="AR77" s="62"/>
      <c r="AS77" s="60" t="s">
        <v>330</v>
      </c>
      <c r="AT77" s="60">
        <v>1970</v>
      </c>
      <c r="AU77" s="62"/>
      <c r="AV77" s="63"/>
      <c r="AW77" s="63"/>
      <c r="AX77" s="62"/>
      <c r="AY77" s="62"/>
      <c r="AZ77" s="60">
        <v>2</v>
      </c>
      <c r="BA77" s="60">
        <v>7492</v>
      </c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2"/>
      <c r="CB77" s="62"/>
      <c r="CC77" s="62"/>
      <c r="CD77" s="62"/>
      <c r="CE77" s="62"/>
      <c r="CF77" s="62"/>
      <c r="CG77" s="62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  <c r="EA77" s="62"/>
      <c r="EB77" s="62"/>
      <c r="EC77" s="62"/>
      <c r="ED77" s="62"/>
      <c r="EE77" s="62"/>
      <c r="EF77" s="62"/>
      <c r="EG77" s="62"/>
      <c r="EH77" s="62"/>
      <c r="EI77" s="62"/>
      <c r="EJ77" s="62"/>
      <c r="EK77" s="62"/>
      <c r="EL77" s="62"/>
      <c r="EM77" s="62"/>
      <c r="EN77" s="62"/>
      <c r="EO77" s="62"/>
      <c r="EP77" s="62"/>
      <c r="EQ77" s="62"/>
      <c r="ER77" s="62"/>
      <c r="ES77" s="62"/>
      <c r="ET77" s="62"/>
      <c r="EU77" s="62"/>
      <c r="EV77" s="62"/>
      <c r="EW77" s="62"/>
      <c r="EX77" s="62"/>
      <c r="EY77" s="62"/>
      <c r="EZ77" s="62"/>
      <c r="FA77" s="62"/>
      <c r="FB77" s="62"/>
      <c r="FC77" s="62"/>
      <c r="FD77" s="62"/>
      <c r="FE77" s="62"/>
      <c r="FF77" s="62"/>
      <c r="FG77" s="62"/>
      <c r="FH77" s="62"/>
      <c r="FI77" s="62"/>
      <c r="FJ77" s="67"/>
      <c r="FK77" s="67"/>
      <c r="FL77" s="67"/>
      <c r="FM77" s="67"/>
      <c r="FN77" s="67"/>
      <c r="FO77" s="67"/>
      <c r="FP77" s="67"/>
      <c r="FQ77" s="67"/>
      <c r="FR77" s="62"/>
      <c r="FS77" s="62"/>
      <c r="FT77" s="62"/>
      <c r="FU77" s="62"/>
      <c r="FV77" s="62"/>
      <c r="FW77" s="62"/>
      <c r="FX77" s="62"/>
      <c r="FY77" s="62"/>
      <c r="FZ77" s="62"/>
      <c r="GA77" s="62"/>
      <c r="GB77" s="62"/>
      <c r="GC77" s="62"/>
      <c r="GD77" s="62"/>
      <c r="GE77" s="62"/>
      <c r="GF77" s="63"/>
      <c r="GG77" s="63"/>
      <c r="GH77" s="62"/>
      <c r="GI77" s="62"/>
      <c r="GJ77" s="62"/>
      <c r="GK77" s="62"/>
      <c r="GL77" s="62"/>
      <c r="GM77" s="62"/>
      <c r="GN77" s="62"/>
      <c r="GO77" s="62"/>
      <c r="GP77" s="62"/>
      <c r="GQ77" s="62"/>
      <c r="GR77" s="62"/>
      <c r="GS77" s="62"/>
      <c r="GT77" s="62"/>
      <c r="GU77" s="62"/>
      <c r="GV77" s="62"/>
      <c r="GW77" s="62"/>
      <c r="GX77" s="62"/>
      <c r="GY77" s="62"/>
      <c r="GZ77" s="62"/>
      <c r="HA77" s="62"/>
      <c r="HB77" s="62"/>
      <c r="HC77" s="62"/>
      <c r="HD77" s="62"/>
      <c r="HE77" s="62"/>
      <c r="HF77" s="62"/>
      <c r="HG77" s="68" t="s">
        <v>257</v>
      </c>
      <c r="HH77" s="62" t="s">
        <v>258</v>
      </c>
      <c r="HI77" s="62"/>
      <c r="HJ77" s="62">
        <v>8</v>
      </c>
      <c r="HK77" s="62" t="s">
        <v>331</v>
      </c>
      <c r="HL77" s="62" t="s">
        <v>332</v>
      </c>
      <c r="HM77" s="62" t="s">
        <v>331</v>
      </c>
      <c r="HN77" s="62" t="s">
        <v>331</v>
      </c>
      <c r="HO77" s="62" t="s">
        <v>331</v>
      </c>
      <c r="HP77" s="70">
        <v>0.86</v>
      </c>
      <c r="HQ77" s="70">
        <v>0</v>
      </c>
      <c r="HR77" s="70">
        <v>0</v>
      </c>
      <c r="HS77" s="70">
        <v>0</v>
      </c>
      <c r="HT77" s="70">
        <v>0.89</v>
      </c>
      <c r="HU77" s="62" t="s">
        <v>286</v>
      </c>
      <c r="HV77" s="62" t="s">
        <v>263</v>
      </c>
      <c r="HW77" s="62"/>
      <c r="HX77" s="62"/>
    </row>
    <row r="78" spans="2:232" hidden="1" x14ac:dyDescent="0.2">
      <c r="B78" s="60">
        <v>19</v>
      </c>
      <c r="C78" s="60">
        <v>21</v>
      </c>
      <c r="D78" s="61" t="s">
        <v>326</v>
      </c>
      <c r="E78" s="62"/>
      <c r="F78" s="62"/>
      <c r="G78" s="62"/>
      <c r="H78" s="62"/>
      <c r="I78" s="62"/>
      <c r="J78" s="61" t="s">
        <v>327</v>
      </c>
      <c r="K78" s="60" t="s">
        <v>326</v>
      </c>
      <c r="L78" s="62" t="s">
        <v>328</v>
      </c>
      <c r="M78" s="63">
        <v>3301</v>
      </c>
      <c r="N78" s="73" t="s">
        <v>329</v>
      </c>
      <c r="O78" s="73"/>
      <c r="P78" s="73"/>
      <c r="Q78" s="73"/>
      <c r="R78" s="73"/>
      <c r="S78" s="71">
        <v>1370650.42</v>
      </c>
      <c r="T78" s="74" t="s">
        <v>254</v>
      </c>
      <c r="U78" s="74">
        <v>205617</v>
      </c>
      <c r="V78" s="74">
        <f>SUM(LIST_LOCATIONDETAILS334[[#This Row],[Building]:[BI]])</f>
        <v>1576267.42</v>
      </c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0" t="s">
        <v>269</v>
      </c>
      <c r="AQ78" s="62"/>
      <c r="AR78" s="62"/>
      <c r="AS78" s="60" t="s">
        <v>330</v>
      </c>
      <c r="AT78" s="60">
        <v>1970</v>
      </c>
      <c r="AU78" s="62"/>
      <c r="AV78" s="63"/>
      <c r="AW78" s="63"/>
      <c r="AX78" s="62"/>
      <c r="AY78" s="62"/>
      <c r="AZ78" s="60">
        <v>2</v>
      </c>
      <c r="BA78" s="60">
        <v>10513</v>
      </c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  <c r="EA78" s="62"/>
      <c r="EB78" s="62"/>
      <c r="EC78" s="62"/>
      <c r="ED78" s="62"/>
      <c r="EE78" s="62"/>
      <c r="EF78" s="62"/>
      <c r="EG78" s="62"/>
      <c r="EH78" s="62"/>
      <c r="EI78" s="62"/>
      <c r="EJ78" s="62"/>
      <c r="EK78" s="62"/>
      <c r="EL78" s="62"/>
      <c r="EM78" s="62"/>
      <c r="EN78" s="62"/>
      <c r="EO78" s="62"/>
      <c r="EP78" s="62"/>
      <c r="EQ78" s="62"/>
      <c r="ER78" s="62"/>
      <c r="ES78" s="62"/>
      <c r="ET78" s="62"/>
      <c r="EU78" s="62"/>
      <c r="EV78" s="62"/>
      <c r="EW78" s="62"/>
      <c r="EX78" s="62"/>
      <c r="EY78" s="62"/>
      <c r="EZ78" s="62"/>
      <c r="FA78" s="62"/>
      <c r="FB78" s="62"/>
      <c r="FC78" s="62"/>
      <c r="FD78" s="62"/>
      <c r="FE78" s="62"/>
      <c r="FF78" s="62"/>
      <c r="FG78" s="62"/>
      <c r="FH78" s="62"/>
      <c r="FI78" s="62"/>
      <c r="FJ78" s="67"/>
      <c r="FK78" s="67"/>
      <c r="FL78" s="67"/>
      <c r="FM78" s="67"/>
      <c r="FN78" s="67"/>
      <c r="FO78" s="67"/>
      <c r="FP78" s="67"/>
      <c r="FQ78" s="67"/>
      <c r="FR78" s="62"/>
      <c r="FS78" s="62"/>
      <c r="FT78" s="62"/>
      <c r="FU78" s="62"/>
      <c r="FV78" s="62"/>
      <c r="FW78" s="62"/>
      <c r="FX78" s="62"/>
      <c r="FY78" s="62"/>
      <c r="FZ78" s="62"/>
      <c r="GA78" s="62"/>
      <c r="GB78" s="62"/>
      <c r="GC78" s="62"/>
      <c r="GD78" s="62"/>
      <c r="GE78" s="62"/>
      <c r="GF78" s="63"/>
      <c r="GG78" s="63"/>
      <c r="GH78" s="62"/>
      <c r="GI78" s="62"/>
      <c r="GJ78" s="62"/>
      <c r="GK78" s="62"/>
      <c r="GL78" s="62"/>
      <c r="GM78" s="62"/>
      <c r="GN78" s="62"/>
      <c r="GO78" s="62"/>
      <c r="GP78" s="62"/>
      <c r="GQ78" s="62"/>
      <c r="GR78" s="62"/>
      <c r="GS78" s="62"/>
      <c r="GT78" s="62"/>
      <c r="GU78" s="62"/>
      <c r="GV78" s="62"/>
      <c r="GW78" s="62"/>
      <c r="GX78" s="62"/>
      <c r="GY78" s="62"/>
      <c r="GZ78" s="62"/>
      <c r="HA78" s="62"/>
      <c r="HB78" s="62"/>
      <c r="HC78" s="62"/>
      <c r="HD78" s="62"/>
      <c r="HE78" s="62"/>
      <c r="HF78" s="62"/>
      <c r="HG78" s="68" t="s">
        <v>257</v>
      </c>
      <c r="HH78" s="62" t="s">
        <v>258</v>
      </c>
      <c r="HI78" s="62"/>
      <c r="HJ78" s="62">
        <v>12</v>
      </c>
      <c r="HK78" s="62" t="s">
        <v>331</v>
      </c>
      <c r="HL78" s="62" t="s">
        <v>332</v>
      </c>
      <c r="HM78" s="62" t="s">
        <v>331</v>
      </c>
      <c r="HN78" s="62" t="s">
        <v>331</v>
      </c>
      <c r="HO78" s="62" t="s">
        <v>331</v>
      </c>
      <c r="HP78" s="70">
        <v>0.86</v>
      </c>
      <c r="HQ78" s="70">
        <v>0</v>
      </c>
      <c r="HR78" s="70">
        <v>0</v>
      </c>
      <c r="HS78" s="70">
        <v>0</v>
      </c>
      <c r="HT78" s="70">
        <v>0.89</v>
      </c>
      <c r="HU78" s="62" t="s">
        <v>286</v>
      </c>
      <c r="HV78" s="62" t="s">
        <v>263</v>
      </c>
      <c r="HW78" s="62"/>
      <c r="HX78" s="62"/>
    </row>
    <row r="79" spans="2:232" hidden="1" x14ac:dyDescent="0.2">
      <c r="B79" s="60">
        <v>19</v>
      </c>
      <c r="C79" s="60">
        <v>22</v>
      </c>
      <c r="D79" s="61" t="s">
        <v>326</v>
      </c>
      <c r="E79" s="62"/>
      <c r="F79" s="62"/>
      <c r="G79" s="62"/>
      <c r="H79" s="62"/>
      <c r="I79" s="62"/>
      <c r="J79" s="61" t="s">
        <v>327</v>
      </c>
      <c r="K79" s="60" t="s">
        <v>326</v>
      </c>
      <c r="L79" s="62" t="s">
        <v>328</v>
      </c>
      <c r="M79" s="63">
        <v>3301</v>
      </c>
      <c r="N79" s="73" t="s">
        <v>329</v>
      </c>
      <c r="O79" s="73"/>
      <c r="P79" s="73"/>
      <c r="Q79" s="73"/>
      <c r="R79" s="73"/>
      <c r="S79" s="71">
        <v>1465303.92</v>
      </c>
      <c r="T79" s="74" t="s">
        <v>254</v>
      </c>
      <c r="U79" s="74">
        <v>219816</v>
      </c>
      <c r="V79" s="74">
        <f>SUM(LIST_LOCATIONDETAILS334[[#This Row],[Building]:[BI]])</f>
        <v>1685119.92</v>
      </c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0" t="s">
        <v>269</v>
      </c>
      <c r="AQ79" s="62"/>
      <c r="AR79" s="62"/>
      <c r="AS79" s="60" t="s">
        <v>330</v>
      </c>
      <c r="AT79" s="60">
        <v>1970</v>
      </c>
      <c r="AU79" s="62"/>
      <c r="AV79" s="63"/>
      <c r="AW79" s="63"/>
      <c r="AX79" s="62"/>
      <c r="AY79" s="62"/>
      <c r="AZ79" s="60">
        <v>2</v>
      </c>
      <c r="BA79" s="60">
        <v>11239</v>
      </c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2"/>
      <c r="CB79" s="62"/>
      <c r="CC79" s="62"/>
      <c r="CD79" s="62"/>
      <c r="CE79" s="62"/>
      <c r="CF79" s="62"/>
      <c r="CG79" s="62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  <c r="EA79" s="62"/>
      <c r="EB79" s="62"/>
      <c r="EC79" s="62"/>
      <c r="ED79" s="62"/>
      <c r="EE79" s="62"/>
      <c r="EF79" s="62"/>
      <c r="EG79" s="62"/>
      <c r="EH79" s="62"/>
      <c r="EI79" s="62"/>
      <c r="EJ79" s="62"/>
      <c r="EK79" s="62"/>
      <c r="EL79" s="62"/>
      <c r="EM79" s="62"/>
      <c r="EN79" s="62"/>
      <c r="EO79" s="62"/>
      <c r="EP79" s="62"/>
      <c r="EQ79" s="62"/>
      <c r="ER79" s="62"/>
      <c r="ES79" s="62"/>
      <c r="ET79" s="62"/>
      <c r="EU79" s="62"/>
      <c r="EV79" s="62"/>
      <c r="EW79" s="62"/>
      <c r="EX79" s="62"/>
      <c r="EY79" s="62"/>
      <c r="EZ79" s="62"/>
      <c r="FA79" s="62"/>
      <c r="FB79" s="62"/>
      <c r="FC79" s="62"/>
      <c r="FD79" s="62"/>
      <c r="FE79" s="62"/>
      <c r="FF79" s="62"/>
      <c r="FG79" s="62"/>
      <c r="FH79" s="62"/>
      <c r="FI79" s="62"/>
      <c r="FJ79" s="67"/>
      <c r="FK79" s="67"/>
      <c r="FL79" s="67"/>
      <c r="FM79" s="67"/>
      <c r="FN79" s="67"/>
      <c r="FO79" s="67"/>
      <c r="FP79" s="67"/>
      <c r="FQ79" s="67"/>
      <c r="FR79" s="62"/>
      <c r="FS79" s="62"/>
      <c r="FT79" s="62"/>
      <c r="FU79" s="62"/>
      <c r="FV79" s="62"/>
      <c r="FW79" s="62"/>
      <c r="FX79" s="62"/>
      <c r="FY79" s="62"/>
      <c r="FZ79" s="62"/>
      <c r="GA79" s="62"/>
      <c r="GB79" s="62"/>
      <c r="GC79" s="62"/>
      <c r="GD79" s="62"/>
      <c r="GE79" s="62"/>
      <c r="GF79" s="63"/>
      <c r="GG79" s="63"/>
      <c r="GH79" s="62"/>
      <c r="GI79" s="62"/>
      <c r="GJ79" s="62"/>
      <c r="GK79" s="62"/>
      <c r="GL79" s="62"/>
      <c r="GM79" s="62"/>
      <c r="GN79" s="62"/>
      <c r="GO79" s="62"/>
      <c r="GP79" s="62"/>
      <c r="GQ79" s="62"/>
      <c r="GR79" s="62"/>
      <c r="GS79" s="62"/>
      <c r="GT79" s="62"/>
      <c r="GU79" s="62"/>
      <c r="GV79" s="62"/>
      <c r="GW79" s="62"/>
      <c r="GX79" s="62"/>
      <c r="GY79" s="62"/>
      <c r="GZ79" s="62"/>
      <c r="HA79" s="62"/>
      <c r="HB79" s="62"/>
      <c r="HC79" s="62"/>
      <c r="HD79" s="62"/>
      <c r="HE79" s="62"/>
      <c r="HF79" s="62"/>
      <c r="HG79" s="68" t="s">
        <v>257</v>
      </c>
      <c r="HH79" s="62" t="s">
        <v>258</v>
      </c>
      <c r="HI79" s="62"/>
      <c r="HJ79" s="62">
        <v>12</v>
      </c>
      <c r="HK79" s="62" t="s">
        <v>331</v>
      </c>
      <c r="HL79" s="62" t="s">
        <v>332</v>
      </c>
      <c r="HM79" s="62" t="s">
        <v>331</v>
      </c>
      <c r="HN79" s="62" t="s">
        <v>331</v>
      </c>
      <c r="HO79" s="62" t="s">
        <v>331</v>
      </c>
      <c r="HP79" s="70">
        <v>0.86</v>
      </c>
      <c r="HQ79" s="70">
        <v>0</v>
      </c>
      <c r="HR79" s="70">
        <v>0</v>
      </c>
      <c r="HS79" s="70">
        <v>0</v>
      </c>
      <c r="HT79" s="70">
        <v>0.89</v>
      </c>
      <c r="HU79" s="62" t="s">
        <v>286</v>
      </c>
      <c r="HV79" s="62" t="s">
        <v>263</v>
      </c>
      <c r="HW79" s="62"/>
      <c r="HX79" s="62"/>
    </row>
    <row r="80" spans="2:232" hidden="1" x14ac:dyDescent="0.2">
      <c r="B80" s="60">
        <v>19</v>
      </c>
      <c r="C80" s="60">
        <v>23</v>
      </c>
      <c r="D80" s="61" t="s">
        <v>326</v>
      </c>
      <c r="E80" s="62"/>
      <c r="F80" s="62"/>
      <c r="G80" s="62"/>
      <c r="H80" s="62"/>
      <c r="I80" s="62"/>
      <c r="J80" s="61" t="s">
        <v>327</v>
      </c>
      <c r="K80" s="60" t="s">
        <v>326</v>
      </c>
      <c r="L80" s="62" t="s">
        <v>328</v>
      </c>
      <c r="M80" s="63">
        <v>3301</v>
      </c>
      <c r="N80" s="73" t="s">
        <v>329</v>
      </c>
      <c r="O80" s="73"/>
      <c r="P80" s="73"/>
      <c r="Q80" s="73"/>
      <c r="R80" s="73"/>
      <c r="S80" s="71">
        <v>1370650.42</v>
      </c>
      <c r="T80" s="74" t="s">
        <v>254</v>
      </c>
      <c r="U80" s="74">
        <v>205617</v>
      </c>
      <c r="V80" s="74">
        <f>SUM(LIST_LOCATIONDETAILS334[[#This Row],[Building]:[BI]])</f>
        <v>1576267.42</v>
      </c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0" t="s">
        <v>269</v>
      </c>
      <c r="AQ80" s="62"/>
      <c r="AR80" s="62"/>
      <c r="AS80" s="60" t="s">
        <v>330</v>
      </c>
      <c r="AT80" s="60">
        <v>1970</v>
      </c>
      <c r="AU80" s="62"/>
      <c r="AV80" s="63"/>
      <c r="AW80" s="63"/>
      <c r="AX80" s="62"/>
      <c r="AY80" s="62"/>
      <c r="AZ80" s="60">
        <v>2</v>
      </c>
      <c r="BA80" s="60">
        <v>10513</v>
      </c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2"/>
      <c r="CB80" s="62"/>
      <c r="CC80" s="62"/>
      <c r="CD80" s="62"/>
      <c r="CE80" s="62"/>
      <c r="CF80" s="62"/>
      <c r="CG80" s="62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  <c r="EA80" s="62"/>
      <c r="EB80" s="62"/>
      <c r="EC80" s="62"/>
      <c r="ED80" s="62"/>
      <c r="EE80" s="62"/>
      <c r="EF80" s="62"/>
      <c r="EG80" s="62"/>
      <c r="EH80" s="62"/>
      <c r="EI80" s="62"/>
      <c r="EJ80" s="62"/>
      <c r="EK80" s="62"/>
      <c r="EL80" s="62"/>
      <c r="EM80" s="62"/>
      <c r="EN80" s="62"/>
      <c r="EO80" s="62"/>
      <c r="EP80" s="62"/>
      <c r="EQ80" s="62"/>
      <c r="ER80" s="62"/>
      <c r="ES80" s="62"/>
      <c r="ET80" s="62"/>
      <c r="EU80" s="62"/>
      <c r="EV80" s="62"/>
      <c r="EW80" s="62"/>
      <c r="EX80" s="62"/>
      <c r="EY80" s="62"/>
      <c r="EZ80" s="62"/>
      <c r="FA80" s="62"/>
      <c r="FB80" s="62"/>
      <c r="FC80" s="62"/>
      <c r="FD80" s="62"/>
      <c r="FE80" s="62"/>
      <c r="FF80" s="62"/>
      <c r="FG80" s="62"/>
      <c r="FH80" s="62"/>
      <c r="FI80" s="62"/>
      <c r="FJ80" s="67"/>
      <c r="FK80" s="67"/>
      <c r="FL80" s="67"/>
      <c r="FM80" s="67"/>
      <c r="FN80" s="67"/>
      <c r="FO80" s="67"/>
      <c r="FP80" s="67"/>
      <c r="FQ80" s="67"/>
      <c r="FR80" s="62"/>
      <c r="FS80" s="62"/>
      <c r="FT80" s="62"/>
      <c r="FU80" s="62"/>
      <c r="FV80" s="62"/>
      <c r="FW80" s="62"/>
      <c r="FX80" s="62"/>
      <c r="FY80" s="62"/>
      <c r="FZ80" s="62"/>
      <c r="GA80" s="62"/>
      <c r="GB80" s="62"/>
      <c r="GC80" s="62"/>
      <c r="GD80" s="62"/>
      <c r="GE80" s="62"/>
      <c r="GF80" s="63"/>
      <c r="GG80" s="63"/>
      <c r="GH80" s="62"/>
      <c r="GI80" s="62"/>
      <c r="GJ80" s="62"/>
      <c r="GK80" s="62"/>
      <c r="GL80" s="62"/>
      <c r="GM80" s="62"/>
      <c r="GN80" s="62"/>
      <c r="GO80" s="62"/>
      <c r="GP80" s="62"/>
      <c r="GQ80" s="62"/>
      <c r="GR80" s="62"/>
      <c r="GS80" s="62"/>
      <c r="GT80" s="62"/>
      <c r="GU80" s="62"/>
      <c r="GV80" s="62"/>
      <c r="GW80" s="62"/>
      <c r="GX80" s="62"/>
      <c r="GY80" s="62"/>
      <c r="GZ80" s="62"/>
      <c r="HA80" s="62"/>
      <c r="HB80" s="62"/>
      <c r="HC80" s="62"/>
      <c r="HD80" s="62"/>
      <c r="HE80" s="62"/>
      <c r="HF80" s="62"/>
      <c r="HG80" s="68" t="s">
        <v>257</v>
      </c>
      <c r="HH80" s="62" t="s">
        <v>258</v>
      </c>
      <c r="HI80" s="62"/>
      <c r="HJ80" s="62">
        <v>12</v>
      </c>
      <c r="HK80" s="62" t="s">
        <v>331</v>
      </c>
      <c r="HL80" s="62" t="s">
        <v>332</v>
      </c>
      <c r="HM80" s="62" t="s">
        <v>331</v>
      </c>
      <c r="HN80" s="62" t="s">
        <v>331</v>
      </c>
      <c r="HO80" s="62" t="s">
        <v>331</v>
      </c>
      <c r="HP80" s="70">
        <v>0.86</v>
      </c>
      <c r="HQ80" s="70">
        <v>0</v>
      </c>
      <c r="HR80" s="70">
        <v>0</v>
      </c>
      <c r="HS80" s="70">
        <v>0</v>
      </c>
      <c r="HT80" s="70">
        <v>0.89</v>
      </c>
      <c r="HU80" s="62" t="s">
        <v>286</v>
      </c>
      <c r="HV80" s="62" t="s">
        <v>263</v>
      </c>
      <c r="HW80" s="62"/>
      <c r="HX80" s="62"/>
    </row>
    <row r="81" spans="2:232" hidden="1" x14ac:dyDescent="0.2">
      <c r="B81" s="60">
        <v>19</v>
      </c>
      <c r="C81" s="60">
        <v>24</v>
      </c>
      <c r="D81" s="61" t="s">
        <v>326</v>
      </c>
      <c r="E81" s="62"/>
      <c r="F81" s="62"/>
      <c r="G81" s="62"/>
      <c r="H81" s="62"/>
      <c r="I81" s="62"/>
      <c r="J81" s="61" t="s">
        <v>327</v>
      </c>
      <c r="K81" s="60" t="s">
        <v>326</v>
      </c>
      <c r="L81" s="62" t="s">
        <v>328</v>
      </c>
      <c r="M81" s="63">
        <v>3301</v>
      </c>
      <c r="N81" s="73" t="s">
        <v>329</v>
      </c>
      <c r="O81" s="73"/>
      <c r="P81" s="73"/>
      <c r="Q81" s="73"/>
      <c r="R81" s="73"/>
      <c r="S81" s="71">
        <v>1961517.7</v>
      </c>
      <c r="T81" s="74" t="s">
        <v>254</v>
      </c>
      <c r="U81" s="74">
        <v>294255</v>
      </c>
      <c r="V81" s="74">
        <f>SUM(LIST_LOCATIONDETAILS334[[#This Row],[Building]:[BI]])</f>
        <v>2255772.7000000002</v>
      </c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0" t="s">
        <v>269</v>
      </c>
      <c r="AQ81" s="62"/>
      <c r="AR81" s="62"/>
      <c r="AS81" s="60" t="s">
        <v>330</v>
      </c>
      <c r="AT81" s="60">
        <v>1970</v>
      </c>
      <c r="AU81" s="62"/>
      <c r="AV81" s="63"/>
      <c r="AW81" s="63"/>
      <c r="AX81" s="62"/>
      <c r="AY81" s="62"/>
      <c r="AZ81" s="60">
        <v>2</v>
      </c>
      <c r="BA81" s="60">
        <v>15045</v>
      </c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2"/>
      <c r="CB81" s="62"/>
      <c r="CC81" s="62"/>
      <c r="CD81" s="62"/>
      <c r="CE81" s="62"/>
      <c r="CF81" s="62"/>
      <c r="CG81" s="62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  <c r="EA81" s="62"/>
      <c r="EB81" s="62"/>
      <c r="EC81" s="62"/>
      <c r="ED81" s="62"/>
      <c r="EE81" s="62"/>
      <c r="EF81" s="62"/>
      <c r="EG81" s="62"/>
      <c r="EH81" s="62"/>
      <c r="EI81" s="62"/>
      <c r="EJ81" s="62"/>
      <c r="EK81" s="62"/>
      <c r="EL81" s="62"/>
      <c r="EM81" s="62"/>
      <c r="EN81" s="62"/>
      <c r="EO81" s="62"/>
      <c r="EP81" s="62"/>
      <c r="EQ81" s="62"/>
      <c r="ER81" s="62"/>
      <c r="ES81" s="62"/>
      <c r="ET81" s="62"/>
      <c r="EU81" s="62"/>
      <c r="EV81" s="62"/>
      <c r="EW81" s="62"/>
      <c r="EX81" s="62"/>
      <c r="EY81" s="62"/>
      <c r="EZ81" s="62"/>
      <c r="FA81" s="62"/>
      <c r="FB81" s="62"/>
      <c r="FC81" s="62"/>
      <c r="FD81" s="62"/>
      <c r="FE81" s="62"/>
      <c r="FF81" s="62"/>
      <c r="FG81" s="62"/>
      <c r="FH81" s="62"/>
      <c r="FI81" s="62"/>
      <c r="FJ81" s="67"/>
      <c r="FK81" s="67"/>
      <c r="FL81" s="67"/>
      <c r="FM81" s="67"/>
      <c r="FN81" s="67"/>
      <c r="FO81" s="67"/>
      <c r="FP81" s="67"/>
      <c r="FQ81" s="67"/>
      <c r="FR81" s="62"/>
      <c r="FS81" s="62"/>
      <c r="FT81" s="62"/>
      <c r="FU81" s="62"/>
      <c r="FV81" s="62"/>
      <c r="FW81" s="62"/>
      <c r="FX81" s="62"/>
      <c r="FY81" s="62"/>
      <c r="FZ81" s="62"/>
      <c r="GA81" s="62"/>
      <c r="GB81" s="62"/>
      <c r="GC81" s="62"/>
      <c r="GD81" s="62"/>
      <c r="GE81" s="62"/>
      <c r="GF81" s="63"/>
      <c r="GG81" s="63"/>
      <c r="GH81" s="62"/>
      <c r="GI81" s="62"/>
      <c r="GJ81" s="62"/>
      <c r="GK81" s="62"/>
      <c r="GL81" s="62"/>
      <c r="GM81" s="62"/>
      <c r="GN81" s="62"/>
      <c r="GO81" s="62"/>
      <c r="GP81" s="62"/>
      <c r="GQ81" s="62"/>
      <c r="GR81" s="62"/>
      <c r="GS81" s="62"/>
      <c r="GT81" s="62"/>
      <c r="GU81" s="62"/>
      <c r="GV81" s="62"/>
      <c r="GW81" s="62"/>
      <c r="GX81" s="62"/>
      <c r="GY81" s="62"/>
      <c r="GZ81" s="62"/>
      <c r="HA81" s="62"/>
      <c r="HB81" s="62"/>
      <c r="HC81" s="62"/>
      <c r="HD81" s="62"/>
      <c r="HE81" s="62"/>
      <c r="HF81" s="62"/>
      <c r="HG81" s="68" t="s">
        <v>257</v>
      </c>
      <c r="HH81" s="62" t="s">
        <v>258</v>
      </c>
      <c r="HI81" s="62"/>
      <c r="HJ81" s="62">
        <v>14</v>
      </c>
      <c r="HK81" s="62" t="s">
        <v>331</v>
      </c>
      <c r="HL81" s="62" t="s">
        <v>332</v>
      </c>
      <c r="HM81" s="62" t="s">
        <v>331</v>
      </c>
      <c r="HN81" s="62" t="s">
        <v>331</v>
      </c>
      <c r="HO81" s="62" t="s">
        <v>331</v>
      </c>
      <c r="HP81" s="70">
        <v>0.86</v>
      </c>
      <c r="HQ81" s="70">
        <v>0</v>
      </c>
      <c r="HR81" s="70">
        <v>0</v>
      </c>
      <c r="HS81" s="70">
        <v>0</v>
      </c>
      <c r="HT81" s="70">
        <v>0.89</v>
      </c>
      <c r="HU81" s="62" t="s">
        <v>286</v>
      </c>
      <c r="HV81" s="62" t="s">
        <v>263</v>
      </c>
      <c r="HW81" s="62"/>
      <c r="HX81" s="62"/>
    </row>
    <row r="82" spans="2:232" hidden="1" x14ac:dyDescent="0.2">
      <c r="B82" s="60">
        <v>19</v>
      </c>
      <c r="C82" s="60">
        <v>25</v>
      </c>
      <c r="D82" s="61" t="s">
        <v>326</v>
      </c>
      <c r="E82" s="62"/>
      <c r="F82" s="62"/>
      <c r="G82" s="62"/>
      <c r="H82" s="62"/>
      <c r="I82" s="62"/>
      <c r="J82" s="61" t="s">
        <v>327</v>
      </c>
      <c r="K82" s="60" t="s">
        <v>326</v>
      </c>
      <c r="L82" s="62" t="s">
        <v>328</v>
      </c>
      <c r="M82" s="63">
        <v>3301</v>
      </c>
      <c r="N82" s="73" t="s">
        <v>329</v>
      </c>
      <c r="O82" s="73"/>
      <c r="P82" s="73"/>
      <c r="Q82" s="73"/>
      <c r="R82" s="73"/>
      <c r="S82" s="71">
        <v>1465303.92</v>
      </c>
      <c r="T82" s="74" t="s">
        <v>254</v>
      </c>
      <c r="U82" s="74">
        <v>219816</v>
      </c>
      <c r="V82" s="74">
        <f>SUM(LIST_LOCATIONDETAILS334[[#This Row],[Building]:[BI]])</f>
        <v>1685119.92</v>
      </c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0" t="s">
        <v>269</v>
      </c>
      <c r="AQ82" s="62"/>
      <c r="AR82" s="62"/>
      <c r="AS82" s="60" t="s">
        <v>330</v>
      </c>
      <c r="AT82" s="60">
        <v>1970</v>
      </c>
      <c r="AU82" s="62"/>
      <c r="AV82" s="63"/>
      <c r="AW82" s="63"/>
      <c r="AX82" s="62"/>
      <c r="AY82" s="62"/>
      <c r="AZ82" s="60">
        <v>2</v>
      </c>
      <c r="BA82" s="60">
        <v>11239</v>
      </c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2"/>
      <c r="CB82" s="62"/>
      <c r="CC82" s="62"/>
      <c r="CD82" s="62"/>
      <c r="CE82" s="62"/>
      <c r="CF82" s="62"/>
      <c r="CG82" s="62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  <c r="EA82" s="62"/>
      <c r="EB82" s="62"/>
      <c r="EC82" s="62"/>
      <c r="ED82" s="62"/>
      <c r="EE82" s="62"/>
      <c r="EF82" s="62"/>
      <c r="EG82" s="62"/>
      <c r="EH82" s="62"/>
      <c r="EI82" s="62"/>
      <c r="EJ82" s="62"/>
      <c r="EK82" s="62"/>
      <c r="EL82" s="62"/>
      <c r="EM82" s="62"/>
      <c r="EN82" s="62"/>
      <c r="EO82" s="62"/>
      <c r="EP82" s="62"/>
      <c r="EQ82" s="62"/>
      <c r="ER82" s="62"/>
      <c r="ES82" s="62"/>
      <c r="ET82" s="62"/>
      <c r="EU82" s="62"/>
      <c r="EV82" s="62"/>
      <c r="EW82" s="62"/>
      <c r="EX82" s="62"/>
      <c r="EY82" s="62"/>
      <c r="EZ82" s="62"/>
      <c r="FA82" s="62"/>
      <c r="FB82" s="62"/>
      <c r="FC82" s="62"/>
      <c r="FD82" s="62"/>
      <c r="FE82" s="62"/>
      <c r="FF82" s="62"/>
      <c r="FG82" s="62"/>
      <c r="FH82" s="62"/>
      <c r="FI82" s="62"/>
      <c r="FJ82" s="67"/>
      <c r="FK82" s="67"/>
      <c r="FL82" s="67"/>
      <c r="FM82" s="67"/>
      <c r="FN82" s="67"/>
      <c r="FO82" s="67"/>
      <c r="FP82" s="67"/>
      <c r="FQ82" s="67"/>
      <c r="FR82" s="62"/>
      <c r="FS82" s="62"/>
      <c r="FT82" s="62"/>
      <c r="FU82" s="62"/>
      <c r="FV82" s="62"/>
      <c r="FW82" s="62"/>
      <c r="FX82" s="62"/>
      <c r="FY82" s="62"/>
      <c r="FZ82" s="62"/>
      <c r="GA82" s="62"/>
      <c r="GB82" s="62"/>
      <c r="GC82" s="62"/>
      <c r="GD82" s="62"/>
      <c r="GE82" s="62"/>
      <c r="GF82" s="63"/>
      <c r="GG82" s="63"/>
      <c r="GH82" s="62"/>
      <c r="GI82" s="62"/>
      <c r="GJ82" s="62"/>
      <c r="GK82" s="62"/>
      <c r="GL82" s="62"/>
      <c r="GM82" s="62"/>
      <c r="GN82" s="62"/>
      <c r="GO82" s="62"/>
      <c r="GP82" s="62"/>
      <c r="GQ82" s="62"/>
      <c r="GR82" s="62"/>
      <c r="GS82" s="62"/>
      <c r="GT82" s="62"/>
      <c r="GU82" s="62"/>
      <c r="GV82" s="62"/>
      <c r="GW82" s="62"/>
      <c r="GX82" s="62"/>
      <c r="GY82" s="62"/>
      <c r="GZ82" s="62"/>
      <c r="HA82" s="62"/>
      <c r="HB82" s="62"/>
      <c r="HC82" s="62"/>
      <c r="HD82" s="62"/>
      <c r="HE82" s="62"/>
      <c r="HF82" s="62"/>
      <c r="HG82" s="68" t="s">
        <v>257</v>
      </c>
      <c r="HH82" s="62" t="s">
        <v>258</v>
      </c>
      <c r="HI82" s="62"/>
      <c r="HJ82" s="62">
        <v>12</v>
      </c>
      <c r="HK82" s="62" t="s">
        <v>331</v>
      </c>
      <c r="HL82" s="62" t="s">
        <v>332</v>
      </c>
      <c r="HM82" s="62" t="s">
        <v>331</v>
      </c>
      <c r="HN82" s="62" t="s">
        <v>331</v>
      </c>
      <c r="HO82" s="62" t="s">
        <v>331</v>
      </c>
      <c r="HP82" s="70">
        <v>0.86</v>
      </c>
      <c r="HQ82" s="70">
        <v>0</v>
      </c>
      <c r="HR82" s="70">
        <v>0</v>
      </c>
      <c r="HS82" s="70">
        <v>0</v>
      </c>
      <c r="HT82" s="70">
        <v>0.89</v>
      </c>
      <c r="HU82" s="62" t="s">
        <v>286</v>
      </c>
      <c r="HV82" s="62" t="s">
        <v>263</v>
      </c>
      <c r="HW82" s="62"/>
      <c r="HX82" s="62"/>
    </row>
    <row r="83" spans="2:232" hidden="1" x14ac:dyDescent="0.2">
      <c r="B83" s="60">
        <v>19</v>
      </c>
      <c r="C83" s="60">
        <v>26</v>
      </c>
      <c r="D83" s="61" t="s">
        <v>326</v>
      </c>
      <c r="E83" s="62"/>
      <c r="F83" s="62"/>
      <c r="G83" s="62"/>
      <c r="H83" s="62"/>
      <c r="I83" s="62"/>
      <c r="J83" s="61" t="s">
        <v>327</v>
      </c>
      <c r="K83" s="60" t="s">
        <v>326</v>
      </c>
      <c r="L83" s="62" t="s">
        <v>328</v>
      </c>
      <c r="M83" s="63">
        <v>3301</v>
      </c>
      <c r="N83" s="73" t="s">
        <v>329</v>
      </c>
      <c r="O83" s="73"/>
      <c r="P83" s="73"/>
      <c r="Q83" s="73"/>
      <c r="R83" s="73"/>
      <c r="S83" s="71">
        <v>1370650.42</v>
      </c>
      <c r="T83" s="74" t="s">
        <v>254</v>
      </c>
      <c r="U83" s="74">
        <v>205617</v>
      </c>
      <c r="V83" s="74">
        <f>SUM(LIST_LOCATIONDETAILS334[[#This Row],[Building]:[BI]])</f>
        <v>1576267.42</v>
      </c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0" t="s">
        <v>269</v>
      </c>
      <c r="AQ83" s="62"/>
      <c r="AR83" s="62"/>
      <c r="AS83" s="60" t="s">
        <v>330</v>
      </c>
      <c r="AT83" s="60">
        <v>1970</v>
      </c>
      <c r="AU83" s="62"/>
      <c r="AV83" s="63"/>
      <c r="AW83" s="63"/>
      <c r="AX83" s="62"/>
      <c r="AY83" s="62"/>
      <c r="AZ83" s="60">
        <v>2</v>
      </c>
      <c r="BA83" s="60">
        <v>10513</v>
      </c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2"/>
      <c r="CB83" s="62"/>
      <c r="CC83" s="62"/>
      <c r="CD83" s="62"/>
      <c r="CE83" s="62"/>
      <c r="CF83" s="62"/>
      <c r="CG83" s="62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  <c r="EA83" s="62"/>
      <c r="EB83" s="62"/>
      <c r="EC83" s="62"/>
      <c r="ED83" s="62"/>
      <c r="EE83" s="62"/>
      <c r="EF83" s="62"/>
      <c r="EG83" s="62"/>
      <c r="EH83" s="62"/>
      <c r="EI83" s="62"/>
      <c r="EJ83" s="62"/>
      <c r="EK83" s="62"/>
      <c r="EL83" s="62"/>
      <c r="EM83" s="62"/>
      <c r="EN83" s="62"/>
      <c r="EO83" s="62"/>
      <c r="EP83" s="62"/>
      <c r="EQ83" s="62"/>
      <c r="ER83" s="62"/>
      <c r="ES83" s="62"/>
      <c r="ET83" s="62"/>
      <c r="EU83" s="62"/>
      <c r="EV83" s="62"/>
      <c r="EW83" s="62"/>
      <c r="EX83" s="62"/>
      <c r="EY83" s="62"/>
      <c r="EZ83" s="62"/>
      <c r="FA83" s="62"/>
      <c r="FB83" s="62"/>
      <c r="FC83" s="62"/>
      <c r="FD83" s="62"/>
      <c r="FE83" s="62"/>
      <c r="FF83" s="62"/>
      <c r="FG83" s="62"/>
      <c r="FH83" s="62"/>
      <c r="FI83" s="62"/>
      <c r="FJ83" s="67"/>
      <c r="FK83" s="67"/>
      <c r="FL83" s="67"/>
      <c r="FM83" s="67"/>
      <c r="FN83" s="67"/>
      <c r="FO83" s="67"/>
      <c r="FP83" s="67"/>
      <c r="FQ83" s="67"/>
      <c r="FR83" s="62"/>
      <c r="FS83" s="62"/>
      <c r="FT83" s="62"/>
      <c r="FU83" s="62"/>
      <c r="FV83" s="62"/>
      <c r="FW83" s="62"/>
      <c r="FX83" s="62"/>
      <c r="FY83" s="62"/>
      <c r="FZ83" s="62"/>
      <c r="GA83" s="62"/>
      <c r="GB83" s="62"/>
      <c r="GC83" s="62"/>
      <c r="GD83" s="62"/>
      <c r="GE83" s="62"/>
      <c r="GF83" s="63"/>
      <c r="GG83" s="63"/>
      <c r="GH83" s="62"/>
      <c r="GI83" s="62"/>
      <c r="GJ83" s="62"/>
      <c r="GK83" s="62"/>
      <c r="GL83" s="62"/>
      <c r="GM83" s="62"/>
      <c r="GN83" s="62"/>
      <c r="GO83" s="62"/>
      <c r="GP83" s="62"/>
      <c r="GQ83" s="62"/>
      <c r="GR83" s="62"/>
      <c r="GS83" s="62"/>
      <c r="GT83" s="62"/>
      <c r="GU83" s="62"/>
      <c r="GV83" s="62"/>
      <c r="GW83" s="62"/>
      <c r="GX83" s="62"/>
      <c r="GY83" s="62"/>
      <c r="GZ83" s="62"/>
      <c r="HA83" s="62"/>
      <c r="HB83" s="62"/>
      <c r="HC83" s="62"/>
      <c r="HD83" s="62"/>
      <c r="HE83" s="62"/>
      <c r="HF83" s="62"/>
      <c r="HG83" s="68" t="s">
        <v>257</v>
      </c>
      <c r="HH83" s="62" t="s">
        <v>258</v>
      </c>
      <c r="HI83" s="62"/>
      <c r="HJ83" s="62">
        <v>12</v>
      </c>
      <c r="HK83" s="62" t="s">
        <v>331</v>
      </c>
      <c r="HL83" s="62" t="s">
        <v>332</v>
      </c>
      <c r="HM83" s="62" t="s">
        <v>331</v>
      </c>
      <c r="HN83" s="62" t="s">
        <v>331</v>
      </c>
      <c r="HO83" s="62" t="s">
        <v>331</v>
      </c>
      <c r="HP83" s="70">
        <v>0.86</v>
      </c>
      <c r="HQ83" s="70">
        <v>0</v>
      </c>
      <c r="HR83" s="70">
        <v>0</v>
      </c>
      <c r="HS83" s="70">
        <v>0</v>
      </c>
      <c r="HT83" s="70">
        <v>0.89</v>
      </c>
      <c r="HU83" s="62" t="s">
        <v>286</v>
      </c>
      <c r="HV83" s="62" t="s">
        <v>263</v>
      </c>
      <c r="HW83" s="62"/>
      <c r="HX83" s="62"/>
    </row>
    <row r="84" spans="2:232" hidden="1" x14ac:dyDescent="0.2">
      <c r="B84" s="60">
        <v>19</v>
      </c>
      <c r="C84" s="60">
        <v>27</v>
      </c>
      <c r="D84" s="61" t="s">
        <v>326</v>
      </c>
      <c r="E84" s="62"/>
      <c r="F84" s="62"/>
      <c r="G84" s="62"/>
      <c r="H84" s="62"/>
      <c r="I84" s="62"/>
      <c r="J84" s="61" t="s">
        <v>327</v>
      </c>
      <c r="K84" s="60" t="s">
        <v>326</v>
      </c>
      <c r="L84" s="62" t="s">
        <v>328</v>
      </c>
      <c r="M84" s="63">
        <v>3301</v>
      </c>
      <c r="N84" s="73" t="s">
        <v>329</v>
      </c>
      <c r="O84" s="73"/>
      <c r="P84" s="73"/>
      <c r="Q84" s="73"/>
      <c r="R84" s="73"/>
      <c r="S84" s="71">
        <v>1221108.33</v>
      </c>
      <c r="T84" s="74" t="s">
        <v>254</v>
      </c>
      <c r="U84" s="74">
        <v>183183</v>
      </c>
      <c r="V84" s="74">
        <f>SUM(LIST_LOCATIONDETAILS334[[#This Row],[Building]:[BI]])</f>
        <v>1404291.33</v>
      </c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0" t="s">
        <v>269</v>
      </c>
      <c r="AQ84" s="62"/>
      <c r="AR84" s="62"/>
      <c r="AS84" s="60" t="s">
        <v>330</v>
      </c>
      <c r="AT84" s="60">
        <v>1970</v>
      </c>
      <c r="AU84" s="62"/>
      <c r="AV84" s="63"/>
      <c r="AW84" s="63"/>
      <c r="AX84" s="62"/>
      <c r="AY84" s="62"/>
      <c r="AZ84" s="60">
        <v>2</v>
      </c>
      <c r="BA84" s="60">
        <v>9366</v>
      </c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2"/>
      <c r="CB84" s="62"/>
      <c r="CC84" s="62"/>
      <c r="CD84" s="62"/>
      <c r="CE84" s="62"/>
      <c r="CF84" s="62"/>
      <c r="CG84" s="62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  <c r="EA84" s="62"/>
      <c r="EB84" s="62"/>
      <c r="EC84" s="62"/>
      <c r="ED84" s="62"/>
      <c r="EE84" s="62"/>
      <c r="EF84" s="62"/>
      <c r="EG84" s="62"/>
      <c r="EH84" s="62"/>
      <c r="EI84" s="62"/>
      <c r="EJ84" s="62"/>
      <c r="EK84" s="62"/>
      <c r="EL84" s="62"/>
      <c r="EM84" s="62"/>
      <c r="EN84" s="62"/>
      <c r="EO84" s="62"/>
      <c r="EP84" s="62"/>
      <c r="EQ84" s="62"/>
      <c r="ER84" s="62"/>
      <c r="ES84" s="62"/>
      <c r="ET84" s="62"/>
      <c r="EU84" s="62"/>
      <c r="EV84" s="62"/>
      <c r="EW84" s="62"/>
      <c r="EX84" s="62"/>
      <c r="EY84" s="62"/>
      <c r="EZ84" s="62"/>
      <c r="FA84" s="62"/>
      <c r="FB84" s="62"/>
      <c r="FC84" s="62"/>
      <c r="FD84" s="62"/>
      <c r="FE84" s="62"/>
      <c r="FF84" s="62"/>
      <c r="FG84" s="62"/>
      <c r="FH84" s="62"/>
      <c r="FI84" s="62"/>
      <c r="FJ84" s="67"/>
      <c r="FK84" s="67"/>
      <c r="FL84" s="67"/>
      <c r="FM84" s="67"/>
      <c r="FN84" s="67"/>
      <c r="FO84" s="67"/>
      <c r="FP84" s="67"/>
      <c r="FQ84" s="67"/>
      <c r="FR84" s="62"/>
      <c r="FS84" s="62"/>
      <c r="FT84" s="62"/>
      <c r="FU84" s="62"/>
      <c r="FV84" s="62"/>
      <c r="FW84" s="62"/>
      <c r="FX84" s="62"/>
      <c r="FY84" s="62"/>
      <c r="FZ84" s="62"/>
      <c r="GA84" s="62"/>
      <c r="GB84" s="62"/>
      <c r="GC84" s="62"/>
      <c r="GD84" s="62"/>
      <c r="GE84" s="62"/>
      <c r="GF84" s="63"/>
      <c r="GG84" s="63"/>
      <c r="GH84" s="62"/>
      <c r="GI84" s="62"/>
      <c r="GJ84" s="62"/>
      <c r="GK84" s="62"/>
      <c r="GL84" s="62"/>
      <c r="GM84" s="62"/>
      <c r="GN84" s="62"/>
      <c r="GO84" s="62"/>
      <c r="GP84" s="62"/>
      <c r="GQ84" s="62"/>
      <c r="GR84" s="62"/>
      <c r="GS84" s="62"/>
      <c r="GT84" s="62"/>
      <c r="GU84" s="62"/>
      <c r="GV84" s="62"/>
      <c r="GW84" s="62"/>
      <c r="GX84" s="62"/>
      <c r="GY84" s="62"/>
      <c r="GZ84" s="62"/>
      <c r="HA84" s="62"/>
      <c r="HB84" s="62"/>
      <c r="HC84" s="62"/>
      <c r="HD84" s="62"/>
      <c r="HE84" s="62"/>
      <c r="HF84" s="62"/>
      <c r="HG84" s="68" t="s">
        <v>257</v>
      </c>
      <c r="HH84" s="62" t="s">
        <v>258</v>
      </c>
      <c r="HI84" s="62"/>
      <c r="HJ84" s="62">
        <v>10</v>
      </c>
      <c r="HK84" s="62" t="s">
        <v>331</v>
      </c>
      <c r="HL84" s="62" t="s">
        <v>332</v>
      </c>
      <c r="HM84" s="62" t="s">
        <v>331</v>
      </c>
      <c r="HN84" s="62" t="s">
        <v>331</v>
      </c>
      <c r="HO84" s="62" t="s">
        <v>331</v>
      </c>
      <c r="HP84" s="70">
        <v>0.86</v>
      </c>
      <c r="HQ84" s="70">
        <v>0</v>
      </c>
      <c r="HR84" s="70">
        <v>0</v>
      </c>
      <c r="HS84" s="70">
        <v>0</v>
      </c>
      <c r="HT84" s="70">
        <v>0.89</v>
      </c>
      <c r="HU84" s="62" t="s">
        <v>286</v>
      </c>
      <c r="HV84" s="62" t="s">
        <v>263</v>
      </c>
      <c r="HW84" s="62"/>
      <c r="HX84" s="62"/>
    </row>
    <row r="85" spans="2:232" hidden="1" x14ac:dyDescent="0.2">
      <c r="B85" s="60">
        <v>20</v>
      </c>
      <c r="C85" s="60">
        <v>1</v>
      </c>
      <c r="D85" s="61" t="s">
        <v>333</v>
      </c>
      <c r="E85" s="62"/>
      <c r="F85" s="62"/>
      <c r="G85" s="62"/>
      <c r="H85" s="62"/>
      <c r="I85" s="62"/>
      <c r="J85" s="61" t="s">
        <v>334</v>
      </c>
      <c r="K85" s="60" t="s">
        <v>333</v>
      </c>
      <c r="L85" s="62" t="s">
        <v>335</v>
      </c>
      <c r="M85" s="63">
        <v>23607</v>
      </c>
      <c r="N85" s="73" t="s">
        <v>333</v>
      </c>
      <c r="O85" s="73"/>
      <c r="P85" s="73"/>
      <c r="Q85" s="73"/>
      <c r="R85" s="73"/>
      <c r="S85" s="71">
        <v>2026801.1</v>
      </c>
      <c r="T85" s="74" t="s">
        <v>254</v>
      </c>
      <c r="U85" s="74">
        <v>265746.7</v>
      </c>
      <c r="V85" s="74">
        <f>SUM(LIST_LOCATIONDETAILS334[[#This Row],[Building]:[BI]])</f>
        <v>2292547.8000000003</v>
      </c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0" t="s">
        <v>269</v>
      </c>
      <c r="AQ85" s="62"/>
      <c r="AR85" s="62"/>
      <c r="AS85" s="60" t="s">
        <v>256</v>
      </c>
      <c r="AT85" s="60">
        <v>1970</v>
      </c>
      <c r="AU85" s="62"/>
      <c r="AV85" s="63"/>
      <c r="AW85" s="63"/>
      <c r="AX85" s="62"/>
      <c r="AY85" s="62"/>
      <c r="AZ85" s="60">
        <v>3</v>
      </c>
      <c r="BA85" s="60">
        <v>16647</v>
      </c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2"/>
      <c r="CB85" s="62"/>
      <c r="CC85" s="62"/>
      <c r="CD85" s="62"/>
      <c r="CE85" s="62"/>
      <c r="CF85" s="62"/>
      <c r="CG85" s="62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  <c r="EA85" s="62"/>
      <c r="EB85" s="62"/>
      <c r="EC85" s="62"/>
      <c r="ED85" s="62"/>
      <c r="EE85" s="62"/>
      <c r="EF85" s="62"/>
      <c r="EG85" s="62"/>
      <c r="EH85" s="62"/>
      <c r="EI85" s="62"/>
      <c r="EJ85" s="62"/>
      <c r="EK85" s="62"/>
      <c r="EL85" s="62"/>
      <c r="EM85" s="62"/>
      <c r="EN85" s="62"/>
      <c r="EO85" s="62"/>
      <c r="EP85" s="62"/>
      <c r="EQ85" s="62"/>
      <c r="ER85" s="62"/>
      <c r="ES85" s="62"/>
      <c r="ET85" s="62"/>
      <c r="EU85" s="62"/>
      <c r="EV85" s="62"/>
      <c r="EW85" s="62"/>
      <c r="EX85" s="62"/>
      <c r="EY85" s="62"/>
      <c r="EZ85" s="62"/>
      <c r="FA85" s="62"/>
      <c r="FB85" s="62"/>
      <c r="FC85" s="62"/>
      <c r="FD85" s="62"/>
      <c r="FE85" s="62"/>
      <c r="FF85" s="62"/>
      <c r="FG85" s="62"/>
      <c r="FH85" s="62"/>
      <c r="FI85" s="62"/>
      <c r="FJ85" s="67"/>
      <c r="FK85" s="67"/>
      <c r="FL85" s="67"/>
      <c r="FM85" s="67"/>
      <c r="FN85" s="67"/>
      <c r="FO85" s="67"/>
      <c r="FP85" s="67"/>
      <c r="FQ85" s="67"/>
      <c r="FR85" s="62"/>
      <c r="FS85" s="62"/>
      <c r="FT85" s="62"/>
      <c r="FU85" s="62"/>
      <c r="FV85" s="62"/>
      <c r="FW85" s="62"/>
      <c r="FX85" s="62"/>
      <c r="FY85" s="62"/>
      <c r="FZ85" s="62"/>
      <c r="GA85" s="62"/>
      <c r="GB85" s="62"/>
      <c r="GC85" s="62"/>
      <c r="GD85" s="62"/>
      <c r="GE85" s="62"/>
      <c r="GF85" s="63"/>
      <c r="GG85" s="63"/>
      <c r="GH85" s="62"/>
      <c r="GI85" s="62"/>
      <c r="GJ85" s="62"/>
      <c r="GK85" s="62"/>
      <c r="GL85" s="62"/>
      <c r="GM85" s="62"/>
      <c r="GN85" s="62"/>
      <c r="GO85" s="62"/>
      <c r="GP85" s="62"/>
      <c r="GQ85" s="62"/>
      <c r="GR85" s="62"/>
      <c r="GS85" s="62"/>
      <c r="GT85" s="62"/>
      <c r="GU85" s="62"/>
      <c r="GV85" s="62"/>
      <c r="GW85" s="62"/>
      <c r="GX85" s="62"/>
      <c r="GY85" s="62"/>
      <c r="GZ85" s="62"/>
      <c r="HA85" s="62"/>
      <c r="HB85" s="62"/>
      <c r="HC85" s="62"/>
      <c r="HD85" s="62"/>
      <c r="HE85" s="62"/>
      <c r="HF85" s="62"/>
      <c r="HG85" s="68" t="s">
        <v>257</v>
      </c>
      <c r="HH85" s="62" t="s">
        <v>336</v>
      </c>
      <c r="HI85" s="62"/>
      <c r="HJ85" s="62">
        <v>16</v>
      </c>
      <c r="HK85" s="62">
        <v>2024</v>
      </c>
      <c r="HL85" s="62" t="s">
        <v>337</v>
      </c>
      <c r="HM85" s="62">
        <v>2024</v>
      </c>
      <c r="HN85" s="62">
        <v>2024</v>
      </c>
      <c r="HO85" s="62">
        <v>2024</v>
      </c>
      <c r="HP85" s="70">
        <v>0.99</v>
      </c>
      <c r="HQ85" s="70">
        <v>0</v>
      </c>
      <c r="HR85" s="70">
        <v>0</v>
      </c>
      <c r="HS85" s="70">
        <v>0</v>
      </c>
      <c r="HT85" s="70">
        <v>0.85</v>
      </c>
      <c r="HU85" s="62" t="s">
        <v>286</v>
      </c>
      <c r="HV85" s="62" t="s">
        <v>263</v>
      </c>
      <c r="HW85" s="62"/>
      <c r="HX85" s="62"/>
    </row>
    <row r="86" spans="2:232" hidden="1" x14ac:dyDescent="0.2">
      <c r="B86" s="60">
        <v>20</v>
      </c>
      <c r="C86" s="60">
        <v>2</v>
      </c>
      <c r="D86" s="61" t="s">
        <v>333</v>
      </c>
      <c r="E86" s="62"/>
      <c r="F86" s="62"/>
      <c r="G86" s="62"/>
      <c r="H86" s="62"/>
      <c r="I86" s="62"/>
      <c r="J86" s="61" t="s">
        <v>338</v>
      </c>
      <c r="K86" s="60" t="s">
        <v>333</v>
      </c>
      <c r="L86" s="62" t="s">
        <v>335</v>
      </c>
      <c r="M86" s="63">
        <v>23607</v>
      </c>
      <c r="N86" s="73" t="s">
        <v>333</v>
      </c>
      <c r="O86" s="73"/>
      <c r="P86" s="73"/>
      <c r="Q86" s="73"/>
      <c r="R86" s="73"/>
      <c r="S86" s="71">
        <v>2812465.04</v>
      </c>
      <c r="T86" s="74" t="s">
        <v>254</v>
      </c>
      <c r="U86" s="74">
        <v>368760.06</v>
      </c>
      <c r="V86" s="74">
        <f>SUM(LIST_LOCATIONDETAILS334[[#This Row],[Building]:[BI]])</f>
        <v>3181225.1</v>
      </c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0" t="s">
        <v>269</v>
      </c>
      <c r="AQ86" s="62"/>
      <c r="AR86" s="62"/>
      <c r="AS86" s="60" t="s">
        <v>256</v>
      </c>
      <c r="AT86" s="60">
        <v>1970</v>
      </c>
      <c r="AU86" s="62"/>
      <c r="AV86" s="63"/>
      <c r="AW86" s="63"/>
      <c r="AX86" s="62"/>
      <c r="AY86" s="62"/>
      <c r="AZ86" s="60">
        <v>3</v>
      </c>
      <c r="BA86" s="60">
        <v>23100</v>
      </c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2"/>
      <c r="CB86" s="62"/>
      <c r="CC86" s="62"/>
      <c r="CD86" s="62"/>
      <c r="CE86" s="62"/>
      <c r="CF86" s="62"/>
      <c r="CG86" s="62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  <c r="EA86" s="62"/>
      <c r="EB86" s="62"/>
      <c r="EC86" s="62"/>
      <c r="ED86" s="62"/>
      <c r="EE86" s="62"/>
      <c r="EF86" s="62"/>
      <c r="EG86" s="62"/>
      <c r="EH86" s="62"/>
      <c r="EI86" s="62"/>
      <c r="EJ86" s="62"/>
      <c r="EK86" s="62"/>
      <c r="EL86" s="62"/>
      <c r="EM86" s="62"/>
      <c r="EN86" s="62"/>
      <c r="EO86" s="62"/>
      <c r="EP86" s="62"/>
      <c r="EQ86" s="62"/>
      <c r="ER86" s="62"/>
      <c r="ES86" s="62"/>
      <c r="ET86" s="62"/>
      <c r="EU86" s="62"/>
      <c r="EV86" s="62"/>
      <c r="EW86" s="62"/>
      <c r="EX86" s="62"/>
      <c r="EY86" s="62"/>
      <c r="EZ86" s="62"/>
      <c r="FA86" s="62"/>
      <c r="FB86" s="62"/>
      <c r="FC86" s="62"/>
      <c r="FD86" s="62"/>
      <c r="FE86" s="62"/>
      <c r="FF86" s="62"/>
      <c r="FG86" s="62"/>
      <c r="FH86" s="62"/>
      <c r="FI86" s="62"/>
      <c r="FJ86" s="67"/>
      <c r="FK86" s="67"/>
      <c r="FL86" s="67"/>
      <c r="FM86" s="67"/>
      <c r="FN86" s="67"/>
      <c r="FO86" s="67"/>
      <c r="FP86" s="67"/>
      <c r="FQ86" s="67"/>
      <c r="FR86" s="62"/>
      <c r="FS86" s="62"/>
      <c r="FT86" s="62"/>
      <c r="FU86" s="62"/>
      <c r="FV86" s="62"/>
      <c r="FW86" s="62"/>
      <c r="FX86" s="62"/>
      <c r="FY86" s="62"/>
      <c r="FZ86" s="62"/>
      <c r="GA86" s="62"/>
      <c r="GB86" s="62"/>
      <c r="GC86" s="62"/>
      <c r="GD86" s="62"/>
      <c r="GE86" s="62"/>
      <c r="GF86" s="63"/>
      <c r="GG86" s="63"/>
      <c r="GH86" s="62"/>
      <c r="GI86" s="62"/>
      <c r="GJ86" s="62"/>
      <c r="GK86" s="62"/>
      <c r="GL86" s="62"/>
      <c r="GM86" s="62"/>
      <c r="GN86" s="62"/>
      <c r="GO86" s="62"/>
      <c r="GP86" s="62"/>
      <c r="GQ86" s="62"/>
      <c r="GR86" s="62"/>
      <c r="GS86" s="62"/>
      <c r="GT86" s="62"/>
      <c r="GU86" s="62"/>
      <c r="GV86" s="62"/>
      <c r="GW86" s="62"/>
      <c r="GX86" s="62"/>
      <c r="GY86" s="62"/>
      <c r="GZ86" s="62"/>
      <c r="HA86" s="62"/>
      <c r="HB86" s="62"/>
      <c r="HC86" s="62"/>
      <c r="HD86" s="62"/>
      <c r="HE86" s="62"/>
      <c r="HF86" s="62"/>
      <c r="HG86" s="68" t="s">
        <v>257</v>
      </c>
      <c r="HH86" s="62" t="s">
        <v>336</v>
      </c>
      <c r="HI86" s="62"/>
      <c r="HJ86" s="62">
        <v>24</v>
      </c>
      <c r="HK86" s="62">
        <v>2024</v>
      </c>
      <c r="HL86" s="62" t="s">
        <v>337</v>
      </c>
      <c r="HM86" s="62">
        <v>2024</v>
      </c>
      <c r="HN86" s="62">
        <v>2024</v>
      </c>
      <c r="HO86" s="62">
        <v>2024</v>
      </c>
      <c r="HP86" s="70">
        <v>0.99</v>
      </c>
      <c r="HQ86" s="70">
        <v>0</v>
      </c>
      <c r="HR86" s="70">
        <v>0</v>
      </c>
      <c r="HS86" s="70">
        <v>0</v>
      </c>
      <c r="HT86" s="70">
        <v>0.85</v>
      </c>
      <c r="HU86" s="62" t="s">
        <v>286</v>
      </c>
      <c r="HV86" s="62" t="s">
        <v>263</v>
      </c>
      <c r="HW86" s="62"/>
      <c r="HX86" s="62"/>
    </row>
    <row r="87" spans="2:232" hidden="1" x14ac:dyDescent="0.2">
      <c r="B87" s="60">
        <v>20</v>
      </c>
      <c r="C87" s="60">
        <v>3</v>
      </c>
      <c r="D87" s="61" t="s">
        <v>333</v>
      </c>
      <c r="E87" s="62"/>
      <c r="F87" s="62"/>
      <c r="G87" s="62"/>
      <c r="H87" s="62"/>
      <c r="I87" s="62"/>
      <c r="J87" s="61" t="s">
        <v>339</v>
      </c>
      <c r="K87" s="60" t="s">
        <v>333</v>
      </c>
      <c r="L87" s="62" t="s">
        <v>335</v>
      </c>
      <c r="M87" s="63">
        <v>23607</v>
      </c>
      <c r="N87" s="73" t="s">
        <v>333</v>
      </c>
      <c r="O87" s="73"/>
      <c r="P87" s="73"/>
      <c r="Q87" s="73"/>
      <c r="R87" s="73"/>
      <c r="S87" s="71">
        <v>1363619.41</v>
      </c>
      <c r="T87" s="74" t="s">
        <v>254</v>
      </c>
      <c r="U87" s="74">
        <v>178792.76</v>
      </c>
      <c r="V87" s="74">
        <f>SUM(LIST_LOCATIONDETAILS334[[#This Row],[Building]:[BI]])</f>
        <v>1542412.17</v>
      </c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0" t="s">
        <v>269</v>
      </c>
      <c r="AQ87" s="62"/>
      <c r="AR87" s="62"/>
      <c r="AS87" s="60" t="s">
        <v>256</v>
      </c>
      <c r="AT87" s="60">
        <v>1970</v>
      </c>
      <c r="AU87" s="62"/>
      <c r="AV87" s="63"/>
      <c r="AW87" s="63"/>
      <c r="AX87" s="62"/>
      <c r="AY87" s="62"/>
      <c r="AZ87" s="60">
        <v>3</v>
      </c>
      <c r="BA87" s="60">
        <v>11200</v>
      </c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2"/>
      <c r="CB87" s="62"/>
      <c r="CC87" s="62"/>
      <c r="CD87" s="62"/>
      <c r="CE87" s="62"/>
      <c r="CF87" s="62"/>
      <c r="CG87" s="62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  <c r="EA87" s="62"/>
      <c r="EB87" s="62"/>
      <c r="EC87" s="62"/>
      <c r="ED87" s="62"/>
      <c r="EE87" s="62"/>
      <c r="EF87" s="62"/>
      <c r="EG87" s="62"/>
      <c r="EH87" s="62"/>
      <c r="EI87" s="62"/>
      <c r="EJ87" s="62"/>
      <c r="EK87" s="62"/>
      <c r="EL87" s="62"/>
      <c r="EM87" s="62"/>
      <c r="EN87" s="62"/>
      <c r="EO87" s="62"/>
      <c r="EP87" s="62"/>
      <c r="EQ87" s="62"/>
      <c r="ER87" s="62"/>
      <c r="ES87" s="62"/>
      <c r="ET87" s="62"/>
      <c r="EU87" s="62"/>
      <c r="EV87" s="62"/>
      <c r="EW87" s="62"/>
      <c r="EX87" s="62"/>
      <c r="EY87" s="62"/>
      <c r="EZ87" s="62"/>
      <c r="FA87" s="62"/>
      <c r="FB87" s="62"/>
      <c r="FC87" s="62"/>
      <c r="FD87" s="62"/>
      <c r="FE87" s="62"/>
      <c r="FF87" s="62"/>
      <c r="FG87" s="62"/>
      <c r="FH87" s="62"/>
      <c r="FI87" s="62"/>
      <c r="FJ87" s="67"/>
      <c r="FK87" s="67"/>
      <c r="FL87" s="67"/>
      <c r="FM87" s="67"/>
      <c r="FN87" s="67"/>
      <c r="FO87" s="67"/>
      <c r="FP87" s="67"/>
      <c r="FQ87" s="67"/>
      <c r="FR87" s="62"/>
      <c r="FS87" s="62"/>
      <c r="FT87" s="62"/>
      <c r="FU87" s="62"/>
      <c r="FV87" s="62"/>
      <c r="FW87" s="62"/>
      <c r="FX87" s="62"/>
      <c r="FY87" s="62"/>
      <c r="FZ87" s="62"/>
      <c r="GA87" s="62"/>
      <c r="GB87" s="62"/>
      <c r="GC87" s="62"/>
      <c r="GD87" s="62"/>
      <c r="GE87" s="62"/>
      <c r="GF87" s="63"/>
      <c r="GG87" s="63"/>
      <c r="GH87" s="62"/>
      <c r="GI87" s="62"/>
      <c r="GJ87" s="62"/>
      <c r="GK87" s="62"/>
      <c r="GL87" s="62"/>
      <c r="GM87" s="62"/>
      <c r="GN87" s="62"/>
      <c r="GO87" s="62"/>
      <c r="GP87" s="62"/>
      <c r="GQ87" s="62"/>
      <c r="GR87" s="62"/>
      <c r="GS87" s="62"/>
      <c r="GT87" s="62"/>
      <c r="GU87" s="62"/>
      <c r="GV87" s="62"/>
      <c r="GW87" s="62"/>
      <c r="GX87" s="62"/>
      <c r="GY87" s="62"/>
      <c r="GZ87" s="62"/>
      <c r="HA87" s="62"/>
      <c r="HB87" s="62"/>
      <c r="HC87" s="62"/>
      <c r="HD87" s="62"/>
      <c r="HE87" s="62"/>
      <c r="HF87" s="62"/>
      <c r="HG87" s="68" t="s">
        <v>257</v>
      </c>
      <c r="HH87" s="62" t="s">
        <v>336</v>
      </c>
      <c r="HI87" s="62"/>
      <c r="HJ87" s="62">
        <v>12</v>
      </c>
      <c r="HK87" s="62">
        <v>2024</v>
      </c>
      <c r="HL87" s="62" t="s">
        <v>337</v>
      </c>
      <c r="HM87" s="62">
        <v>2024</v>
      </c>
      <c r="HN87" s="62">
        <v>2024</v>
      </c>
      <c r="HO87" s="62">
        <v>2024</v>
      </c>
      <c r="HP87" s="70">
        <v>0.99</v>
      </c>
      <c r="HQ87" s="70">
        <v>0</v>
      </c>
      <c r="HR87" s="70">
        <v>0</v>
      </c>
      <c r="HS87" s="70">
        <v>0</v>
      </c>
      <c r="HT87" s="70">
        <v>0.85</v>
      </c>
      <c r="HU87" s="62" t="s">
        <v>286</v>
      </c>
      <c r="HV87" s="62" t="s">
        <v>263</v>
      </c>
      <c r="HW87" s="62"/>
      <c r="HX87" s="62"/>
    </row>
    <row r="88" spans="2:232" hidden="1" x14ac:dyDescent="0.2">
      <c r="B88" s="60">
        <v>20</v>
      </c>
      <c r="C88" s="60">
        <v>4</v>
      </c>
      <c r="D88" s="61" t="s">
        <v>333</v>
      </c>
      <c r="E88" s="62"/>
      <c r="F88" s="62"/>
      <c r="G88" s="62"/>
      <c r="H88" s="62"/>
      <c r="I88" s="62"/>
      <c r="J88" s="61" t="s">
        <v>340</v>
      </c>
      <c r="K88" s="60" t="s">
        <v>333</v>
      </c>
      <c r="L88" s="62" t="s">
        <v>335</v>
      </c>
      <c r="M88" s="63">
        <v>23607</v>
      </c>
      <c r="N88" s="73" t="s">
        <v>333</v>
      </c>
      <c r="O88" s="73"/>
      <c r="P88" s="73"/>
      <c r="Q88" s="73"/>
      <c r="R88" s="73"/>
      <c r="S88" s="71">
        <v>1363619.41</v>
      </c>
      <c r="T88" s="74" t="s">
        <v>254</v>
      </c>
      <c r="U88" s="74">
        <v>178792.76</v>
      </c>
      <c r="V88" s="74">
        <f>SUM(LIST_LOCATIONDETAILS334[[#This Row],[Building]:[BI]])</f>
        <v>1542412.17</v>
      </c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0" t="s">
        <v>269</v>
      </c>
      <c r="AQ88" s="62"/>
      <c r="AR88" s="62"/>
      <c r="AS88" s="60" t="s">
        <v>256</v>
      </c>
      <c r="AT88" s="60">
        <v>1970</v>
      </c>
      <c r="AU88" s="62"/>
      <c r="AV88" s="63"/>
      <c r="AW88" s="63"/>
      <c r="AX88" s="62"/>
      <c r="AY88" s="62"/>
      <c r="AZ88" s="60">
        <v>3</v>
      </c>
      <c r="BA88" s="60">
        <v>11200</v>
      </c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  <c r="EA88" s="62"/>
      <c r="EB88" s="62"/>
      <c r="EC88" s="62"/>
      <c r="ED88" s="62"/>
      <c r="EE88" s="62"/>
      <c r="EF88" s="62"/>
      <c r="EG88" s="62"/>
      <c r="EH88" s="62"/>
      <c r="EI88" s="62"/>
      <c r="EJ88" s="62"/>
      <c r="EK88" s="62"/>
      <c r="EL88" s="62"/>
      <c r="EM88" s="62"/>
      <c r="EN88" s="62"/>
      <c r="EO88" s="62"/>
      <c r="EP88" s="62"/>
      <c r="EQ88" s="62"/>
      <c r="ER88" s="62"/>
      <c r="ES88" s="62"/>
      <c r="ET88" s="62"/>
      <c r="EU88" s="62"/>
      <c r="EV88" s="62"/>
      <c r="EW88" s="62"/>
      <c r="EX88" s="62"/>
      <c r="EY88" s="62"/>
      <c r="EZ88" s="62"/>
      <c r="FA88" s="62"/>
      <c r="FB88" s="62"/>
      <c r="FC88" s="62"/>
      <c r="FD88" s="62"/>
      <c r="FE88" s="62"/>
      <c r="FF88" s="62"/>
      <c r="FG88" s="62"/>
      <c r="FH88" s="62"/>
      <c r="FI88" s="62"/>
      <c r="FJ88" s="67"/>
      <c r="FK88" s="67"/>
      <c r="FL88" s="67"/>
      <c r="FM88" s="67"/>
      <c r="FN88" s="67"/>
      <c r="FO88" s="67"/>
      <c r="FP88" s="67"/>
      <c r="FQ88" s="67"/>
      <c r="FR88" s="62"/>
      <c r="FS88" s="62"/>
      <c r="FT88" s="62"/>
      <c r="FU88" s="62"/>
      <c r="FV88" s="62"/>
      <c r="FW88" s="62"/>
      <c r="FX88" s="62"/>
      <c r="FY88" s="62"/>
      <c r="FZ88" s="62"/>
      <c r="GA88" s="62"/>
      <c r="GB88" s="62"/>
      <c r="GC88" s="62"/>
      <c r="GD88" s="62"/>
      <c r="GE88" s="62"/>
      <c r="GF88" s="63"/>
      <c r="GG88" s="63"/>
      <c r="GH88" s="62"/>
      <c r="GI88" s="62"/>
      <c r="GJ88" s="62"/>
      <c r="GK88" s="62"/>
      <c r="GL88" s="62"/>
      <c r="GM88" s="62"/>
      <c r="GN88" s="62"/>
      <c r="GO88" s="62"/>
      <c r="GP88" s="62"/>
      <c r="GQ88" s="62"/>
      <c r="GR88" s="62"/>
      <c r="GS88" s="62"/>
      <c r="GT88" s="62"/>
      <c r="GU88" s="62"/>
      <c r="GV88" s="62"/>
      <c r="GW88" s="62"/>
      <c r="GX88" s="62"/>
      <c r="GY88" s="62"/>
      <c r="GZ88" s="62"/>
      <c r="HA88" s="62"/>
      <c r="HB88" s="62"/>
      <c r="HC88" s="62"/>
      <c r="HD88" s="62"/>
      <c r="HE88" s="62"/>
      <c r="HF88" s="62"/>
      <c r="HG88" s="68" t="s">
        <v>257</v>
      </c>
      <c r="HH88" s="62" t="s">
        <v>336</v>
      </c>
      <c r="HI88" s="62"/>
      <c r="HJ88" s="62">
        <v>12</v>
      </c>
      <c r="HK88" s="62">
        <v>2024</v>
      </c>
      <c r="HL88" s="62" t="s">
        <v>337</v>
      </c>
      <c r="HM88" s="62">
        <v>2024</v>
      </c>
      <c r="HN88" s="62">
        <v>2024</v>
      </c>
      <c r="HO88" s="62">
        <v>2024</v>
      </c>
      <c r="HP88" s="70">
        <v>0.99</v>
      </c>
      <c r="HQ88" s="70">
        <v>0</v>
      </c>
      <c r="HR88" s="70">
        <v>0</v>
      </c>
      <c r="HS88" s="70">
        <v>0</v>
      </c>
      <c r="HT88" s="70">
        <v>0.85</v>
      </c>
      <c r="HU88" s="62" t="s">
        <v>286</v>
      </c>
      <c r="HV88" s="62" t="s">
        <v>263</v>
      </c>
      <c r="HW88" s="62"/>
      <c r="HX88" s="62"/>
    </row>
    <row r="89" spans="2:232" hidden="1" x14ac:dyDescent="0.2">
      <c r="B89" s="60">
        <v>20</v>
      </c>
      <c r="C89" s="60">
        <v>5</v>
      </c>
      <c r="D89" s="61" t="s">
        <v>333</v>
      </c>
      <c r="E89" s="62"/>
      <c r="F89" s="62"/>
      <c r="G89" s="62"/>
      <c r="H89" s="62"/>
      <c r="I89" s="62"/>
      <c r="J89" s="61" t="s">
        <v>341</v>
      </c>
      <c r="K89" s="60" t="s">
        <v>333</v>
      </c>
      <c r="L89" s="62" t="s">
        <v>335</v>
      </c>
      <c r="M89" s="63">
        <v>23607</v>
      </c>
      <c r="N89" s="73" t="s">
        <v>333</v>
      </c>
      <c r="O89" s="73"/>
      <c r="P89" s="73"/>
      <c r="Q89" s="73"/>
      <c r="R89" s="73"/>
      <c r="S89" s="71">
        <v>1544420.73</v>
      </c>
      <c r="T89" s="74" t="s">
        <v>254</v>
      </c>
      <c r="U89" s="74">
        <v>202498.76</v>
      </c>
      <c r="V89" s="74">
        <f>SUM(LIST_LOCATIONDETAILS334[[#This Row],[Building]:[BI]])</f>
        <v>1746919.49</v>
      </c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0" t="s">
        <v>269</v>
      </c>
      <c r="AQ89" s="62"/>
      <c r="AR89" s="62"/>
      <c r="AS89" s="60" t="s">
        <v>256</v>
      </c>
      <c r="AT89" s="60">
        <v>1970</v>
      </c>
      <c r="AU89" s="62"/>
      <c r="AV89" s="63"/>
      <c r="AW89" s="63"/>
      <c r="AX89" s="62"/>
      <c r="AY89" s="62"/>
      <c r="AZ89" s="60">
        <v>3</v>
      </c>
      <c r="BA89" s="60">
        <v>12685</v>
      </c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2"/>
      <c r="CB89" s="62"/>
      <c r="CC89" s="62"/>
      <c r="CD89" s="62"/>
      <c r="CE89" s="62"/>
      <c r="CF89" s="62"/>
      <c r="CG89" s="62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  <c r="EA89" s="62"/>
      <c r="EB89" s="62"/>
      <c r="EC89" s="62"/>
      <c r="ED89" s="62"/>
      <c r="EE89" s="62"/>
      <c r="EF89" s="62"/>
      <c r="EG89" s="62"/>
      <c r="EH89" s="62"/>
      <c r="EI89" s="62"/>
      <c r="EJ89" s="62"/>
      <c r="EK89" s="62"/>
      <c r="EL89" s="62"/>
      <c r="EM89" s="62"/>
      <c r="EN89" s="62"/>
      <c r="EO89" s="62"/>
      <c r="EP89" s="62"/>
      <c r="EQ89" s="62"/>
      <c r="ER89" s="62"/>
      <c r="ES89" s="62"/>
      <c r="ET89" s="62"/>
      <c r="EU89" s="62"/>
      <c r="EV89" s="62"/>
      <c r="EW89" s="62"/>
      <c r="EX89" s="62"/>
      <c r="EY89" s="62"/>
      <c r="EZ89" s="62"/>
      <c r="FA89" s="62"/>
      <c r="FB89" s="62"/>
      <c r="FC89" s="62"/>
      <c r="FD89" s="62"/>
      <c r="FE89" s="62"/>
      <c r="FF89" s="62"/>
      <c r="FG89" s="62"/>
      <c r="FH89" s="62"/>
      <c r="FI89" s="62"/>
      <c r="FJ89" s="67"/>
      <c r="FK89" s="67"/>
      <c r="FL89" s="67"/>
      <c r="FM89" s="67"/>
      <c r="FN89" s="67"/>
      <c r="FO89" s="67"/>
      <c r="FP89" s="67"/>
      <c r="FQ89" s="67"/>
      <c r="FR89" s="62"/>
      <c r="FS89" s="62"/>
      <c r="FT89" s="62"/>
      <c r="FU89" s="62"/>
      <c r="FV89" s="62"/>
      <c r="FW89" s="62"/>
      <c r="FX89" s="62"/>
      <c r="FY89" s="62"/>
      <c r="FZ89" s="62"/>
      <c r="GA89" s="62"/>
      <c r="GB89" s="62"/>
      <c r="GC89" s="62"/>
      <c r="GD89" s="62"/>
      <c r="GE89" s="62"/>
      <c r="GF89" s="63"/>
      <c r="GG89" s="63"/>
      <c r="GH89" s="62"/>
      <c r="GI89" s="62"/>
      <c r="GJ89" s="62"/>
      <c r="GK89" s="62"/>
      <c r="GL89" s="62"/>
      <c r="GM89" s="62"/>
      <c r="GN89" s="62"/>
      <c r="GO89" s="62"/>
      <c r="GP89" s="62"/>
      <c r="GQ89" s="62"/>
      <c r="GR89" s="62"/>
      <c r="GS89" s="62"/>
      <c r="GT89" s="62"/>
      <c r="GU89" s="62"/>
      <c r="GV89" s="62"/>
      <c r="GW89" s="62"/>
      <c r="GX89" s="62"/>
      <c r="GY89" s="62"/>
      <c r="GZ89" s="62"/>
      <c r="HA89" s="62"/>
      <c r="HB89" s="62"/>
      <c r="HC89" s="62"/>
      <c r="HD89" s="62"/>
      <c r="HE89" s="62"/>
      <c r="HF89" s="62"/>
      <c r="HG89" s="68" t="s">
        <v>257</v>
      </c>
      <c r="HH89" s="62" t="s">
        <v>336</v>
      </c>
      <c r="HI89" s="62"/>
      <c r="HJ89" s="62">
        <v>14</v>
      </c>
      <c r="HK89" s="62">
        <v>2024</v>
      </c>
      <c r="HL89" s="62" t="s">
        <v>337</v>
      </c>
      <c r="HM89" s="62">
        <v>2024</v>
      </c>
      <c r="HN89" s="62">
        <v>2024</v>
      </c>
      <c r="HO89" s="62">
        <v>2024</v>
      </c>
      <c r="HP89" s="70">
        <v>0.99</v>
      </c>
      <c r="HQ89" s="70">
        <v>0</v>
      </c>
      <c r="HR89" s="70">
        <v>0</v>
      </c>
      <c r="HS89" s="70">
        <v>0</v>
      </c>
      <c r="HT89" s="70">
        <v>0.85</v>
      </c>
      <c r="HU89" s="62" t="s">
        <v>286</v>
      </c>
      <c r="HV89" s="62" t="s">
        <v>263</v>
      </c>
      <c r="HW89" s="62"/>
      <c r="HX89" s="62"/>
    </row>
    <row r="90" spans="2:232" hidden="1" x14ac:dyDescent="0.2">
      <c r="B90" s="60">
        <v>20</v>
      </c>
      <c r="C90" s="60">
        <v>6</v>
      </c>
      <c r="D90" s="61" t="s">
        <v>333</v>
      </c>
      <c r="E90" s="62"/>
      <c r="F90" s="62"/>
      <c r="G90" s="62"/>
      <c r="H90" s="62"/>
      <c r="I90" s="62"/>
      <c r="J90" s="61" t="s">
        <v>342</v>
      </c>
      <c r="K90" s="60" t="s">
        <v>333</v>
      </c>
      <c r="L90" s="62" t="s">
        <v>335</v>
      </c>
      <c r="M90" s="63">
        <v>23607</v>
      </c>
      <c r="N90" s="73" t="s">
        <v>333</v>
      </c>
      <c r="O90" s="73"/>
      <c r="P90" s="73"/>
      <c r="Q90" s="73"/>
      <c r="R90" s="73"/>
      <c r="S90" s="71">
        <v>1363619.41</v>
      </c>
      <c r="T90" s="74" t="s">
        <v>254</v>
      </c>
      <c r="U90" s="74">
        <v>178792.76</v>
      </c>
      <c r="V90" s="74">
        <f>SUM(LIST_LOCATIONDETAILS334[[#This Row],[Building]:[BI]])</f>
        <v>1542412.17</v>
      </c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0" t="s">
        <v>269</v>
      </c>
      <c r="AQ90" s="62"/>
      <c r="AR90" s="62"/>
      <c r="AS90" s="60" t="s">
        <v>256</v>
      </c>
      <c r="AT90" s="60">
        <v>1970</v>
      </c>
      <c r="AU90" s="62"/>
      <c r="AV90" s="63"/>
      <c r="AW90" s="63"/>
      <c r="AX90" s="62"/>
      <c r="AY90" s="62"/>
      <c r="AZ90" s="60">
        <v>3</v>
      </c>
      <c r="BA90" s="60">
        <v>11200</v>
      </c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2"/>
      <c r="CB90" s="62"/>
      <c r="CC90" s="62"/>
      <c r="CD90" s="62"/>
      <c r="CE90" s="62"/>
      <c r="CF90" s="62"/>
      <c r="CG90" s="62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  <c r="EA90" s="62"/>
      <c r="EB90" s="62"/>
      <c r="EC90" s="62"/>
      <c r="ED90" s="62"/>
      <c r="EE90" s="62"/>
      <c r="EF90" s="62"/>
      <c r="EG90" s="62"/>
      <c r="EH90" s="62"/>
      <c r="EI90" s="62"/>
      <c r="EJ90" s="62"/>
      <c r="EK90" s="62"/>
      <c r="EL90" s="62"/>
      <c r="EM90" s="62"/>
      <c r="EN90" s="62"/>
      <c r="EO90" s="62"/>
      <c r="EP90" s="62"/>
      <c r="EQ90" s="62"/>
      <c r="ER90" s="62"/>
      <c r="ES90" s="62"/>
      <c r="ET90" s="62"/>
      <c r="EU90" s="62"/>
      <c r="EV90" s="62"/>
      <c r="EW90" s="62"/>
      <c r="EX90" s="62"/>
      <c r="EY90" s="62"/>
      <c r="EZ90" s="62"/>
      <c r="FA90" s="62"/>
      <c r="FB90" s="62"/>
      <c r="FC90" s="62"/>
      <c r="FD90" s="62"/>
      <c r="FE90" s="62"/>
      <c r="FF90" s="62"/>
      <c r="FG90" s="62"/>
      <c r="FH90" s="62"/>
      <c r="FI90" s="62"/>
      <c r="FJ90" s="67"/>
      <c r="FK90" s="67"/>
      <c r="FL90" s="67"/>
      <c r="FM90" s="67"/>
      <c r="FN90" s="67"/>
      <c r="FO90" s="67"/>
      <c r="FP90" s="67"/>
      <c r="FQ90" s="67"/>
      <c r="FR90" s="62"/>
      <c r="FS90" s="62"/>
      <c r="FT90" s="62"/>
      <c r="FU90" s="62"/>
      <c r="FV90" s="62"/>
      <c r="FW90" s="62"/>
      <c r="FX90" s="62"/>
      <c r="FY90" s="62"/>
      <c r="FZ90" s="62"/>
      <c r="GA90" s="62"/>
      <c r="GB90" s="62"/>
      <c r="GC90" s="62"/>
      <c r="GD90" s="62"/>
      <c r="GE90" s="62"/>
      <c r="GF90" s="63"/>
      <c r="GG90" s="63"/>
      <c r="GH90" s="62"/>
      <c r="GI90" s="62"/>
      <c r="GJ90" s="62"/>
      <c r="GK90" s="62"/>
      <c r="GL90" s="62"/>
      <c r="GM90" s="62"/>
      <c r="GN90" s="62"/>
      <c r="GO90" s="62"/>
      <c r="GP90" s="62"/>
      <c r="GQ90" s="62"/>
      <c r="GR90" s="62"/>
      <c r="GS90" s="62"/>
      <c r="GT90" s="62"/>
      <c r="GU90" s="62"/>
      <c r="GV90" s="62"/>
      <c r="GW90" s="62"/>
      <c r="GX90" s="62"/>
      <c r="GY90" s="62"/>
      <c r="GZ90" s="62"/>
      <c r="HA90" s="62"/>
      <c r="HB90" s="62"/>
      <c r="HC90" s="62"/>
      <c r="HD90" s="62"/>
      <c r="HE90" s="62"/>
      <c r="HF90" s="62"/>
      <c r="HG90" s="68" t="s">
        <v>257</v>
      </c>
      <c r="HH90" s="62" t="s">
        <v>336</v>
      </c>
      <c r="HI90" s="62"/>
      <c r="HJ90" s="62">
        <v>12</v>
      </c>
      <c r="HK90" s="62">
        <v>2024</v>
      </c>
      <c r="HL90" s="62" t="s">
        <v>337</v>
      </c>
      <c r="HM90" s="62">
        <v>2024</v>
      </c>
      <c r="HN90" s="62">
        <v>2024</v>
      </c>
      <c r="HO90" s="62">
        <v>2024</v>
      </c>
      <c r="HP90" s="70">
        <v>0.99</v>
      </c>
      <c r="HQ90" s="70">
        <v>0</v>
      </c>
      <c r="HR90" s="70">
        <v>0</v>
      </c>
      <c r="HS90" s="70">
        <v>0</v>
      </c>
      <c r="HT90" s="70">
        <v>0.85</v>
      </c>
      <c r="HU90" s="62" t="s">
        <v>286</v>
      </c>
      <c r="HV90" s="62" t="s">
        <v>263</v>
      </c>
      <c r="HW90" s="62"/>
      <c r="HX90" s="62"/>
    </row>
    <row r="91" spans="2:232" hidden="1" x14ac:dyDescent="0.2">
      <c r="B91" s="60">
        <v>20</v>
      </c>
      <c r="C91" s="60">
        <v>7</v>
      </c>
      <c r="D91" s="61" t="s">
        <v>333</v>
      </c>
      <c r="E91" s="62"/>
      <c r="F91" s="62"/>
      <c r="G91" s="62"/>
      <c r="H91" s="62"/>
      <c r="I91" s="62"/>
      <c r="J91" s="61" t="s">
        <v>343</v>
      </c>
      <c r="K91" s="60" t="s">
        <v>333</v>
      </c>
      <c r="L91" s="62" t="s">
        <v>335</v>
      </c>
      <c r="M91" s="63">
        <v>23607</v>
      </c>
      <c r="N91" s="73" t="s">
        <v>333</v>
      </c>
      <c r="O91" s="73"/>
      <c r="P91" s="73"/>
      <c r="Q91" s="73"/>
      <c r="R91" s="73"/>
      <c r="S91" s="71">
        <v>2026801.1</v>
      </c>
      <c r="T91" s="74" t="s">
        <v>254</v>
      </c>
      <c r="U91" s="74">
        <v>265746.7</v>
      </c>
      <c r="V91" s="74">
        <f>SUM(LIST_LOCATIONDETAILS334[[#This Row],[Building]:[BI]])</f>
        <v>2292547.8000000003</v>
      </c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0" t="s">
        <v>269</v>
      </c>
      <c r="AQ91" s="62"/>
      <c r="AR91" s="62"/>
      <c r="AS91" s="60" t="s">
        <v>256</v>
      </c>
      <c r="AT91" s="60">
        <v>1970</v>
      </c>
      <c r="AU91" s="62"/>
      <c r="AV91" s="63"/>
      <c r="AW91" s="63"/>
      <c r="AX91" s="62"/>
      <c r="AY91" s="62"/>
      <c r="AZ91" s="60">
        <v>3</v>
      </c>
      <c r="BA91" s="60">
        <v>16647</v>
      </c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2"/>
      <c r="CB91" s="62"/>
      <c r="CC91" s="62"/>
      <c r="CD91" s="62"/>
      <c r="CE91" s="62"/>
      <c r="CF91" s="62"/>
      <c r="CG91" s="62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  <c r="EA91" s="62"/>
      <c r="EB91" s="62"/>
      <c r="EC91" s="62"/>
      <c r="ED91" s="62"/>
      <c r="EE91" s="62"/>
      <c r="EF91" s="62"/>
      <c r="EG91" s="62"/>
      <c r="EH91" s="62"/>
      <c r="EI91" s="62"/>
      <c r="EJ91" s="62"/>
      <c r="EK91" s="62"/>
      <c r="EL91" s="62"/>
      <c r="EM91" s="62"/>
      <c r="EN91" s="62"/>
      <c r="EO91" s="62"/>
      <c r="EP91" s="62"/>
      <c r="EQ91" s="62"/>
      <c r="ER91" s="62"/>
      <c r="ES91" s="62"/>
      <c r="ET91" s="62"/>
      <c r="EU91" s="62"/>
      <c r="EV91" s="62"/>
      <c r="EW91" s="62"/>
      <c r="EX91" s="62"/>
      <c r="EY91" s="62"/>
      <c r="EZ91" s="62"/>
      <c r="FA91" s="62"/>
      <c r="FB91" s="62"/>
      <c r="FC91" s="62"/>
      <c r="FD91" s="62"/>
      <c r="FE91" s="62"/>
      <c r="FF91" s="62"/>
      <c r="FG91" s="62"/>
      <c r="FH91" s="62"/>
      <c r="FI91" s="62"/>
      <c r="FJ91" s="67"/>
      <c r="FK91" s="67"/>
      <c r="FL91" s="67"/>
      <c r="FM91" s="67"/>
      <c r="FN91" s="67"/>
      <c r="FO91" s="67"/>
      <c r="FP91" s="67"/>
      <c r="FQ91" s="67"/>
      <c r="FR91" s="62"/>
      <c r="FS91" s="62"/>
      <c r="FT91" s="62"/>
      <c r="FU91" s="62"/>
      <c r="FV91" s="62"/>
      <c r="FW91" s="62"/>
      <c r="FX91" s="62"/>
      <c r="FY91" s="62"/>
      <c r="FZ91" s="62"/>
      <c r="GA91" s="62"/>
      <c r="GB91" s="62"/>
      <c r="GC91" s="62"/>
      <c r="GD91" s="62"/>
      <c r="GE91" s="62"/>
      <c r="GF91" s="63"/>
      <c r="GG91" s="63"/>
      <c r="GH91" s="62"/>
      <c r="GI91" s="62"/>
      <c r="GJ91" s="62"/>
      <c r="GK91" s="62"/>
      <c r="GL91" s="62"/>
      <c r="GM91" s="62"/>
      <c r="GN91" s="62"/>
      <c r="GO91" s="62"/>
      <c r="GP91" s="62"/>
      <c r="GQ91" s="62"/>
      <c r="GR91" s="62"/>
      <c r="GS91" s="62"/>
      <c r="GT91" s="62"/>
      <c r="GU91" s="62"/>
      <c r="GV91" s="62"/>
      <c r="GW91" s="62"/>
      <c r="GX91" s="62"/>
      <c r="GY91" s="62"/>
      <c r="GZ91" s="62"/>
      <c r="HA91" s="62"/>
      <c r="HB91" s="62"/>
      <c r="HC91" s="62"/>
      <c r="HD91" s="62"/>
      <c r="HE91" s="62"/>
      <c r="HF91" s="62"/>
      <c r="HG91" s="68" t="s">
        <v>257</v>
      </c>
      <c r="HH91" s="62" t="s">
        <v>336</v>
      </c>
      <c r="HI91" s="62"/>
      <c r="HJ91" s="62">
        <v>18</v>
      </c>
      <c r="HK91" s="62">
        <v>2024</v>
      </c>
      <c r="HL91" s="62" t="s">
        <v>337</v>
      </c>
      <c r="HM91" s="62">
        <v>2024</v>
      </c>
      <c r="HN91" s="62">
        <v>2024</v>
      </c>
      <c r="HO91" s="62">
        <v>2024</v>
      </c>
      <c r="HP91" s="70">
        <v>0.99</v>
      </c>
      <c r="HQ91" s="70">
        <v>0</v>
      </c>
      <c r="HR91" s="70">
        <v>0</v>
      </c>
      <c r="HS91" s="70">
        <v>0</v>
      </c>
      <c r="HT91" s="70">
        <v>0.85</v>
      </c>
      <c r="HU91" s="62" t="s">
        <v>286</v>
      </c>
      <c r="HV91" s="62" t="s">
        <v>263</v>
      </c>
      <c r="HW91" s="62"/>
      <c r="HX91" s="62"/>
    </row>
    <row r="92" spans="2:232" hidden="1" x14ac:dyDescent="0.2">
      <c r="B92" s="60">
        <v>20</v>
      </c>
      <c r="C92" s="60">
        <v>8</v>
      </c>
      <c r="D92" s="61" t="s">
        <v>333</v>
      </c>
      <c r="E92" s="62"/>
      <c r="F92" s="62"/>
      <c r="G92" s="62"/>
      <c r="H92" s="62"/>
      <c r="I92" s="62"/>
      <c r="J92" s="61" t="s">
        <v>344</v>
      </c>
      <c r="K92" s="60" t="s">
        <v>333</v>
      </c>
      <c r="L92" s="62" t="s">
        <v>335</v>
      </c>
      <c r="M92" s="63">
        <v>23607</v>
      </c>
      <c r="N92" s="73" t="s">
        <v>333</v>
      </c>
      <c r="O92" s="73"/>
      <c r="P92" s="73"/>
      <c r="Q92" s="73"/>
      <c r="R92" s="73"/>
      <c r="S92" s="71">
        <v>2122984.9700000002</v>
      </c>
      <c r="T92" s="74" t="s">
        <v>254</v>
      </c>
      <c r="U92" s="74">
        <v>278357.98</v>
      </c>
      <c r="V92" s="74">
        <f>SUM(LIST_LOCATIONDETAILS334[[#This Row],[Building]:[BI]])</f>
        <v>2401342.9500000002</v>
      </c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0" t="s">
        <v>269</v>
      </c>
      <c r="AQ92" s="62"/>
      <c r="AR92" s="62"/>
      <c r="AS92" s="60" t="s">
        <v>256</v>
      </c>
      <c r="AT92" s="60">
        <v>1970</v>
      </c>
      <c r="AU92" s="62"/>
      <c r="AV92" s="63"/>
      <c r="AW92" s="63"/>
      <c r="AX92" s="62"/>
      <c r="AY92" s="62"/>
      <c r="AZ92" s="60">
        <v>3</v>
      </c>
      <c r="BA92" s="60">
        <v>17437</v>
      </c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2"/>
      <c r="CB92" s="62"/>
      <c r="CC92" s="62"/>
      <c r="CD92" s="62"/>
      <c r="CE92" s="62"/>
      <c r="CF92" s="62"/>
      <c r="CG92" s="62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  <c r="EA92" s="62"/>
      <c r="EB92" s="62"/>
      <c r="EC92" s="62"/>
      <c r="ED92" s="62"/>
      <c r="EE92" s="62"/>
      <c r="EF92" s="62"/>
      <c r="EG92" s="62"/>
      <c r="EH92" s="62"/>
      <c r="EI92" s="62"/>
      <c r="EJ92" s="62"/>
      <c r="EK92" s="62"/>
      <c r="EL92" s="62"/>
      <c r="EM92" s="62"/>
      <c r="EN92" s="62"/>
      <c r="EO92" s="62"/>
      <c r="EP92" s="62"/>
      <c r="EQ92" s="62"/>
      <c r="ER92" s="62"/>
      <c r="ES92" s="62"/>
      <c r="ET92" s="62"/>
      <c r="EU92" s="62"/>
      <c r="EV92" s="62"/>
      <c r="EW92" s="62"/>
      <c r="EX92" s="62"/>
      <c r="EY92" s="62"/>
      <c r="EZ92" s="62"/>
      <c r="FA92" s="62"/>
      <c r="FB92" s="62"/>
      <c r="FC92" s="62"/>
      <c r="FD92" s="62"/>
      <c r="FE92" s="62"/>
      <c r="FF92" s="62"/>
      <c r="FG92" s="62"/>
      <c r="FH92" s="62"/>
      <c r="FI92" s="62"/>
      <c r="FJ92" s="67"/>
      <c r="FK92" s="67"/>
      <c r="FL92" s="67"/>
      <c r="FM92" s="67"/>
      <c r="FN92" s="67"/>
      <c r="FO92" s="67"/>
      <c r="FP92" s="67"/>
      <c r="FQ92" s="67"/>
      <c r="FR92" s="62"/>
      <c r="FS92" s="62"/>
      <c r="FT92" s="62"/>
      <c r="FU92" s="62"/>
      <c r="FV92" s="62"/>
      <c r="FW92" s="62"/>
      <c r="FX92" s="62"/>
      <c r="FY92" s="62"/>
      <c r="FZ92" s="62"/>
      <c r="GA92" s="62"/>
      <c r="GB92" s="62"/>
      <c r="GC92" s="62"/>
      <c r="GD92" s="62"/>
      <c r="GE92" s="62"/>
      <c r="GF92" s="63"/>
      <c r="GG92" s="63"/>
      <c r="GH92" s="62"/>
      <c r="GI92" s="62"/>
      <c r="GJ92" s="62"/>
      <c r="GK92" s="62"/>
      <c r="GL92" s="62"/>
      <c r="GM92" s="62"/>
      <c r="GN92" s="62"/>
      <c r="GO92" s="62"/>
      <c r="GP92" s="62"/>
      <c r="GQ92" s="62"/>
      <c r="GR92" s="62"/>
      <c r="GS92" s="62"/>
      <c r="GT92" s="62"/>
      <c r="GU92" s="62"/>
      <c r="GV92" s="62"/>
      <c r="GW92" s="62"/>
      <c r="GX92" s="62"/>
      <c r="GY92" s="62"/>
      <c r="GZ92" s="62"/>
      <c r="HA92" s="62"/>
      <c r="HB92" s="62"/>
      <c r="HC92" s="62"/>
      <c r="HD92" s="62"/>
      <c r="HE92" s="62"/>
      <c r="HF92" s="62"/>
      <c r="HG92" s="68" t="s">
        <v>257</v>
      </c>
      <c r="HH92" s="62" t="s">
        <v>336</v>
      </c>
      <c r="HI92" s="62"/>
      <c r="HJ92" s="62">
        <v>18</v>
      </c>
      <c r="HK92" s="62">
        <v>2024</v>
      </c>
      <c r="HL92" s="62" t="s">
        <v>337</v>
      </c>
      <c r="HM92" s="62">
        <v>2024</v>
      </c>
      <c r="HN92" s="62">
        <v>2024</v>
      </c>
      <c r="HO92" s="62">
        <v>2024</v>
      </c>
      <c r="HP92" s="70">
        <v>0.99</v>
      </c>
      <c r="HQ92" s="70">
        <v>0</v>
      </c>
      <c r="HR92" s="70">
        <v>0</v>
      </c>
      <c r="HS92" s="70">
        <v>0</v>
      </c>
      <c r="HT92" s="70">
        <v>0.85</v>
      </c>
      <c r="HU92" s="62" t="s">
        <v>286</v>
      </c>
      <c r="HV92" s="62" t="s">
        <v>263</v>
      </c>
      <c r="HW92" s="62"/>
      <c r="HX92" s="62"/>
    </row>
    <row r="93" spans="2:232" hidden="1" x14ac:dyDescent="0.2">
      <c r="B93" s="60">
        <v>20</v>
      </c>
      <c r="C93" s="60">
        <v>9</v>
      </c>
      <c r="D93" s="61" t="s">
        <v>333</v>
      </c>
      <c r="E93" s="62"/>
      <c r="F93" s="62"/>
      <c r="G93" s="62"/>
      <c r="H93" s="62"/>
      <c r="I93" s="62"/>
      <c r="J93" s="61" t="s">
        <v>345</v>
      </c>
      <c r="K93" s="60" t="s">
        <v>333</v>
      </c>
      <c r="L93" s="62" t="s">
        <v>335</v>
      </c>
      <c r="M93" s="63">
        <v>23607</v>
      </c>
      <c r="N93" s="73" t="s">
        <v>333</v>
      </c>
      <c r="O93" s="73"/>
      <c r="P93" s="73"/>
      <c r="Q93" s="73"/>
      <c r="R93" s="73"/>
      <c r="S93" s="71">
        <v>1363619.41</v>
      </c>
      <c r="T93" s="74" t="s">
        <v>254</v>
      </c>
      <c r="U93" s="74">
        <v>178792.76</v>
      </c>
      <c r="V93" s="74">
        <f>SUM(LIST_LOCATIONDETAILS334[[#This Row],[Building]:[BI]])</f>
        <v>1542412.17</v>
      </c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0" t="s">
        <v>269</v>
      </c>
      <c r="AQ93" s="62"/>
      <c r="AR93" s="62"/>
      <c r="AS93" s="60" t="s">
        <v>256</v>
      </c>
      <c r="AT93" s="60">
        <v>1970</v>
      </c>
      <c r="AU93" s="62"/>
      <c r="AV93" s="63"/>
      <c r="AW93" s="63"/>
      <c r="AX93" s="62"/>
      <c r="AY93" s="62"/>
      <c r="AZ93" s="60">
        <v>3</v>
      </c>
      <c r="BA93" s="60">
        <v>11200</v>
      </c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2"/>
      <c r="CB93" s="62"/>
      <c r="CC93" s="62"/>
      <c r="CD93" s="62"/>
      <c r="CE93" s="62"/>
      <c r="CF93" s="62"/>
      <c r="CG93" s="62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  <c r="EA93" s="62"/>
      <c r="EB93" s="62"/>
      <c r="EC93" s="62"/>
      <c r="ED93" s="62"/>
      <c r="EE93" s="62"/>
      <c r="EF93" s="62"/>
      <c r="EG93" s="62"/>
      <c r="EH93" s="62"/>
      <c r="EI93" s="62"/>
      <c r="EJ93" s="62"/>
      <c r="EK93" s="62"/>
      <c r="EL93" s="62"/>
      <c r="EM93" s="62"/>
      <c r="EN93" s="62"/>
      <c r="EO93" s="62"/>
      <c r="EP93" s="62"/>
      <c r="EQ93" s="62"/>
      <c r="ER93" s="62"/>
      <c r="ES93" s="62"/>
      <c r="ET93" s="62"/>
      <c r="EU93" s="62"/>
      <c r="EV93" s="62"/>
      <c r="EW93" s="62"/>
      <c r="EX93" s="62"/>
      <c r="EY93" s="62"/>
      <c r="EZ93" s="62"/>
      <c r="FA93" s="62"/>
      <c r="FB93" s="62"/>
      <c r="FC93" s="62"/>
      <c r="FD93" s="62"/>
      <c r="FE93" s="62"/>
      <c r="FF93" s="62"/>
      <c r="FG93" s="62"/>
      <c r="FH93" s="62"/>
      <c r="FI93" s="62"/>
      <c r="FJ93" s="67"/>
      <c r="FK93" s="67"/>
      <c r="FL93" s="67"/>
      <c r="FM93" s="67"/>
      <c r="FN93" s="67"/>
      <c r="FO93" s="67"/>
      <c r="FP93" s="67"/>
      <c r="FQ93" s="67"/>
      <c r="FR93" s="62"/>
      <c r="FS93" s="62"/>
      <c r="FT93" s="62"/>
      <c r="FU93" s="62"/>
      <c r="FV93" s="62"/>
      <c r="FW93" s="62"/>
      <c r="FX93" s="62"/>
      <c r="FY93" s="62"/>
      <c r="FZ93" s="62"/>
      <c r="GA93" s="62"/>
      <c r="GB93" s="62"/>
      <c r="GC93" s="62"/>
      <c r="GD93" s="62"/>
      <c r="GE93" s="62"/>
      <c r="GF93" s="63"/>
      <c r="GG93" s="63"/>
      <c r="GH93" s="62"/>
      <c r="GI93" s="62"/>
      <c r="GJ93" s="62"/>
      <c r="GK93" s="62"/>
      <c r="GL93" s="62"/>
      <c r="GM93" s="62"/>
      <c r="GN93" s="62"/>
      <c r="GO93" s="62"/>
      <c r="GP93" s="62"/>
      <c r="GQ93" s="62"/>
      <c r="GR93" s="62"/>
      <c r="GS93" s="62"/>
      <c r="GT93" s="62"/>
      <c r="GU93" s="62"/>
      <c r="GV93" s="62"/>
      <c r="GW93" s="62"/>
      <c r="GX93" s="62"/>
      <c r="GY93" s="62"/>
      <c r="GZ93" s="62"/>
      <c r="HA93" s="62"/>
      <c r="HB93" s="62"/>
      <c r="HC93" s="62"/>
      <c r="HD93" s="62"/>
      <c r="HE93" s="62"/>
      <c r="HF93" s="62"/>
      <c r="HG93" s="68" t="s">
        <v>257</v>
      </c>
      <c r="HH93" s="62" t="s">
        <v>336</v>
      </c>
      <c r="HI93" s="62"/>
      <c r="HJ93" s="62">
        <v>12</v>
      </c>
      <c r="HK93" s="62">
        <v>2024</v>
      </c>
      <c r="HL93" s="62" t="s">
        <v>337</v>
      </c>
      <c r="HM93" s="62">
        <v>2024</v>
      </c>
      <c r="HN93" s="62">
        <v>2024</v>
      </c>
      <c r="HO93" s="62">
        <v>2024</v>
      </c>
      <c r="HP93" s="70">
        <v>0.99</v>
      </c>
      <c r="HQ93" s="70">
        <v>0</v>
      </c>
      <c r="HR93" s="70">
        <v>0</v>
      </c>
      <c r="HS93" s="70">
        <v>0</v>
      </c>
      <c r="HT93" s="70">
        <v>0.85</v>
      </c>
      <c r="HU93" s="62" t="s">
        <v>286</v>
      </c>
      <c r="HV93" s="62" t="s">
        <v>263</v>
      </c>
      <c r="HW93" s="62"/>
      <c r="HX93" s="62"/>
    </row>
    <row r="94" spans="2:232" hidden="1" x14ac:dyDescent="0.2">
      <c r="B94" s="60">
        <v>20</v>
      </c>
      <c r="C94" s="60">
        <v>10</v>
      </c>
      <c r="D94" s="61" t="s">
        <v>333</v>
      </c>
      <c r="E94" s="62"/>
      <c r="F94" s="62"/>
      <c r="G94" s="62"/>
      <c r="H94" s="62"/>
      <c r="I94" s="62"/>
      <c r="J94" s="61" t="s">
        <v>346</v>
      </c>
      <c r="K94" s="60" t="s">
        <v>333</v>
      </c>
      <c r="L94" s="62" t="s">
        <v>335</v>
      </c>
      <c r="M94" s="63">
        <v>23607</v>
      </c>
      <c r="N94" s="73" t="s">
        <v>333</v>
      </c>
      <c r="O94" s="73"/>
      <c r="P94" s="73"/>
      <c r="Q94" s="73"/>
      <c r="R94" s="73"/>
      <c r="S94" s="71">
        <v>1363619.41</v>
      </c>
      <c r="T94" s="74" t="s">
        <v>254</v>
      </c>
      <c r="U94" s="74">
        <v>178792.76</v>
      </c>
      <c r="V94" s="74">
        <f>SUM(LIST_LOCATIONDETAILS334[[#This Row],[Building]:[BI]])</f>
        <v>1542412.17</v>
      </c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0" t="s">
        <v>269</v>
      </c>
      <c r="AQ94" s="62"/>
      <c r="AR94" s="62"/>
      <c r="AS94" s="60" t="s">
        <v>256</v>
      </c>
      <c r="AT94" s="60">
        <v>1970</v>
      </c>
      <c r="AU94" s="62"/>
      <c r="AV94" s="63"/>
      <c r="AW94" s="63"/>
      <c r="AX94" s="62"/>
      <c r="AY94" s="62"/>
      <c r="AZ94" s="60">
        <v>3</v>
      </c>
      <c r="BA94" s="60">
        <v>11200</v>
      </c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2"/>
      <c r="CB94" s="62"/>
      <c r="CC94" s="62"/>
      <c r="CD94" s="62"/>
      <c r="CE94" s="62"/>
      <c r="CF94" s="62"/>
      <c r="CG94" s="62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  <c r="EA94" s="62"/>
      <c r="EB94" s="62"/>
      <c r="EC94" s="62"/>
      <c r="ED94" s="62"/>
      <c r="EE94" s="62"/>
      <c r="EF94" s="62"/>
      <c r="EG94" s="62"/>
      <c r="EH94" s="62"/>
      <c r="EI94" s="62"/>
      <c r="EJ94" s="62"/>
      <c r="EK94" s="62"/>
      <c r="EL94" s="62"/>
      <c r="EM94" s="62"/>
      <c r="EN94" s="62"/>
      <c r="EO94" s="62"/>
      <c r="EP94" s="62"/>
      <c r="EQ94" s="62"/>
      <c r="ER94" s="62"/>
      <c r="ES94" s="62"/>
      <c r="ET94" s="62"/>
      <c r="EU94" s="62"/>
      <c r="EV94" s="62"/>
      <c r="EW94" s="62"/>
      <c r="EX94" s="62"/>
      <c r="EY94" s="62"/>
      <c r="EZ94" s="62"/>
      <c r="FA94" s="62"/>
      <c r="FB94" s="62"/>
      <c r="FC94" s="62"/>
      <c r="FD94" s="62"/>
      <c r="FE94" s="62"/>
      <c r="FF94" s="62"/>
      <c r="FG94" s="62"/>
      <c r="FH94" s="62"/>
      <c r="FI94" s="62"/>
      <c r="FJ94" s="67"/>
      <c r="FK94" s="67"/>
      <c r="FL94" s="67"/>
      <c r="FM94" s="67"/>
      <c r="FN94" s="67"/>
      <c r="FO94" s="67"/>
      <c r="FP94" s="67"/>
      <c r="FQ94" s="67"/>
      <c r="FR94" s="62"/>
      <c r="FS94" s="62"/>
      <c r="FT94" s="62"/>
      <c r="FU94" s="62"/>
      <c r="FV94" s="62"/>
      <c r="FW94" s="62"/>
      <c r="FX94" s="62"/>
      <c r="FY94" s="62"/>
      <c r="FZ94" s="62"/>
      <c r="GA94" s="62"/>
      <c r="GB94" s="62"/>
      <c r="GC94" s="62"/>
      <c r="GD94" s="62"/>
      <c r="GE94" s="62"/>
      <c r="GF94" s="63"/>
      <c r="GG94" s="63"/>
      <c r="GH94" s="62"/>
      <c r="GI94" s="62"/>
      <c r="GJ94" s="62"/>
      <c r="GK94" s="62"/>
      <c r="GL94" s="62"/>
      <c r="GM94" s="62"/>
      <c r="GN94" s="62"/>
      <c r="GO94" s="62"/>
      <c r="GP94" s="62"/>
      <c r="GQ94" s="62"/>
      <c r="GR94" s="62"/>
      <c r="GS94" s="62"/>
      <c r="GT94" s="62"/>
      <c r="GU94" s="62"/>
      <c r="GV94" s="62"/>
      <c r="GW94" s="62"/>
      <c r="GX94" s="62"/>
      <c r="GY94" s="62"/>
      <c r="GZ94" s="62"/>
      <c r="HA94" s="62"/>
      <c r="HB94" s="62"/>
      <c r="HC94" s="62"/>
      <c r="HD94" s="62"/>
      <c r="HE94" s="62"/>
      <c r="HF94" s="62"/>
      <c r="HG94" s="68" t="s">
        <v>257</v>
      </c>
      <c r="HH94" s="62" t="s">
        <v>336</v>
      </c>
      <c r="HI94" s="62"/>
      <c r="HJ94" s="62">
        <v>12</v>
      </c>
      <c r="HK94" s="62">
        <v>2024</v>
      </c>
      <c r="HL94" s="62" t="s">
        <v>337</v>
      </c>
      <c r="HM94" s="62">
        <v>2024</v>
      </c>
      <c r="HN94" s="62">
        <v>2024</v>
      </c>
      <c r="HO94" s="62">
        <v>2024</v>
      </c>
      <c r="HP94" s="70">
        <v>0.99</v>
      </c>
      <c r="HQ94" s="70">
        <v>0</v>
      </c>
      <c r="HR94" s="70">
        <v>0</v>
      </c>
      <c r="HS94" s="70">
        <v>0</v>
      </c>
      <c r="HT94" s="70">
        <v>0.85</v>
      </c>
      <c r="HU94" s="62" t="s">
        <v>286</v>
      </c>
      <c r="HV94" s="62" t="s">
        <v>263</v>
      </c>
      <c r="HW94" s="62"/>
      <c r="HX94" s="62"/>
    </row>
    <row r="95" spans="2:232" hidden="1" x14ac:dyDescent="0.2">
      <c r="B95" s="60">
        <v>21</v>
      </c>
      <c r="C95" s="60">
        <v>1</v>
      </c>
      <c r="D95" s="61" t="s">
        <v>347</v>
      </c>
      <c r="E95" s="62"/>
      <c r="F95" s="62"/>
      <c r="G95" s="62"/>
      <c r="H95" s="62"/>
      <c r="I95" s="62"/>
      <c r="J95" s="61" t="s">
        <v>348</v>
      </c>
      <c r="K95" s="60" t="s">
        <v>347</v>
      </c>
      <c r="L95" s="62" t="s">
        <v>317</v>
      </c>
      <c r="M95" s="63">
        <v>2895</v>
      </c>
      <c r="N95" s="73" t="s">
        <v>316</v>
      </c>
      <c r="O95" s="73"/>
      <c r="P95" s="73"/>
      <c r="Q95" s="73"/>
      <c r="R95" s="73"/>
      <c r="S95" s="71">
        <v>553494.93999999994</v>
      </c>
      <c r="T95" s="74" t="s">
        <v>254</v>
      </c>
      <c r="U95" s="74">
        <v>69975.759999999995</v>
      </c>
      <c r="V95" s="74">
        <f>SUM(LIST_LOCATIONDETAILS334[[#This Row],[Building]:[BI]])</f>
        <v>623470.69999999995</v>
      </c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0" t="s">
        <v>269</v>
      </c>
      <c r="AQ95" s="62"/>
      <c r="AR95" s="62"/>
      <c r="AS95" s="60" t="s">
        <v>282</v>
      </c>
      <c r="AT95" s="60">
        <v>1974</v>
      </c>
      <c r="AU95" s="62"/>
      <c r="AV95" s="63"/>
      <c r="AW95" s="63"/>
      <c r="AX95" s="62"/>
      <c r="AY95" s="62"/>
      <c r="AZ95" s="60">
        <v>2</v>
      </c>
      <c r="BA95" s="60">
        <v>4425</v>
      </c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2"/>
      <c r="CB95" s="62"/>
      <c r="CC95" s="62"/>
      <c r="CD95" s="62"/>
      <c r="CE95" s="62"/>
      <c r="CF95" s="62"/>
      <c r="CG95" s="62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  <c r="EA95" s="62"/>
      <c r="EB95" s="62"/>
      <c r="EC95" s="62"/>
      <c r="ED95" s="62"/>
      <c r="EE95" s="62"/>
      <c r="EF95" s="62"/>
      <c r="EG95" s="62"/>
      <c r="EH95" s="62"/>
      <c r="EI95" s="62"/>
      <c r="EJ95" s="62"/>
      <c r="EK95" s="62"/>
      <c r="EL95" s="62"/>
      <c r="EM95" s="62"/>
      <c r="EN95" s="62"/>
      <c r="EO95" s="62"/>
      <c r="EP95" s="62"/>
      <c r="EQ95" s="62"/>
      <c r="ER95" s="62"/>
      <c r="ES95" s="62"/>
      <c r="ET95" s="62"/>
      <c r="EU95" s="62"/>
      <c r="EV95" s="62"/>
      <c r="EW95" s="62"/>
      <c r="EX95" s="62"/>
      <c r="EY95" s="62"/>
      <c r="EZ95" s="62"/>
      <c r="FA95" s="62"/>
      <c r="FB95" s="62"/>
      <c r="FC95" s="62"/>
      <c r="FD95" s="62"/>
      <c r="FE95" s="62"/>
      <c r="FF95" s="62"/>
      <c r="FG95" s="62"/>
      <c r="FH95" s="62"/>
      <c r="FI95" s="62"/>
      <c r="FJ95" s="67"/>
      <c r="FK95" s="67"/>
      <c r="FL95" s="67"/>
      <c r="FM95" s="67"/>
      <c r="FN95" s="67"/>
      <c r="FO95" s="67"/>
      <c r="FP95" s="67"/>
      <c r="FQ95" s="67"/>
      <c r="FR95" s="62"/>
      <c r="FS95" s="62"/>
      <c r="FT95" s="62"/>
      <c r="FU95" s="62"/>
      <c r="FV95" s="62"/>
      <c r="FW95" s="62"/>
      <c r="FX95" s="62"/>
      <c r="FY95" s="62"/>
      <c r="FZ95" s="62"/>
      <c r="GA95" s="62"/>
      <c r="GB95" s="62"/>
      <c r="GC95" s="62"/>
      <c r="GD95" s="62"/>
      <c r="GE95" s="62"/>
      <c r="GF95" s="63"/>
      <c r="GG95" s="63"/>
      <c r="GH95" s="62"/>
      <c r="GI95" s="62"/>
      <c r="GJ95" s="62"/>
      <c r="GK95" s="62"/>
      <c r="GL95" s="62"/>
      <c r="GM95" s="62"/>
      <c r="GN95" s="62"/>
      <c r="GO95" s="62"/>
      <c r="GP95" s="62"/>
      <c r="GQ95" s="62"/>
      <c r="GR95" s="62"/>
      <c r="GS95" s="62"/>
      <c r="GT95" s="62"/>
      <c r="GU95" s="62"/>
      <c r="GV95" s="62"/>
      <c r="GW95" s="62"/>
      <c r="GX95" s="62"/>
      <c r="GY95" s="62"/>
      <c r="GZ95" s="62"/>
      <c r="HA95" s="62"/>
      <c r="HB95" s="62"/>
      <c r="HC95" s="62"/>
      <c r="HD95" s="62"/>
      <c r="HE95" s="62"/>
      <c r="HF95" s="62"/>
      <c r="HG95" s="68" t="s">
        <v>257</v>
      </c>
      <c r="HH95" s="62" t="s">
        <v>258</v>
      </c>
      <c r="HI95" s="62"/>
      <c r="HJ95" s="62">
        <v>4</v>
      </c>
      <c r="HK95" s="62" t="s">
        <v>331</v>
      </c>
      <c r="HL95" s="62" t="s">
        <v>270</v>
      </c>
      <c r="HM95" s="62" t="s">
        <v>331</v>
      </c>
      <c r="HN95" s="62" t="s">
        <v>331</v>
      </c>
      <c r="HO95" s="62" t="s">
        <v>331</v>
      </c>
      <c r="HP95" s="70">
        <v>0.74</v>
      </c>
      <c r="HQ95" s="70">
        <v>0</v>
      </c>
      <c r="HR95" s="70">
        <v>0</v>
      </c>
      <c r="HS95" s="70">
        <v>0</v>
      </c>
      <c r="HT95" s="70">
        <v>0.95</v>
      </c>
      <c r="HU95" s="62" t="s">
        <v>271</v>
      </c>
      <c r="HV95" s="62" t="s">
        <v>263</v>
      </c>
      <c r="HW95" s="62"/>
      <c r="HX95" s="62"/>
    </row>
    <row r="96" spans="2:232" hidden="1" x14ac:dyDescent="0.2">
      <c r="B96" s="60">
        <v>21</v>
      </c>
      <c r="C96" s="60">
        <v>2</v>
      </c>
      <c r="D96" s="61" t="s">
        <v>347</v>
      </c>
      <c r="E96" s="62"/>
      <c r="F96" s="62"/>
      <c r="G96" s="62"/>
      <c r="H96" s="62"/>
      <c r="I96" s="62"/>
      <c r="J96" s="61" t="s">
        <v>348</v>
      </c>
      <c r="K96" s="60" t="s">
        <v>347</v>
      </c>
      <c r="L96" s="62" t="s">
        <v>317</v>
      </c>
      <c r="M96" s="63">
        <v>2895</v>
      </c>
      <c r="N96" s="73" t="s">
        <v>316</v>
      </c>
      <c r="O96" s="73"/>
      <c r="P96" s="73"/>
      <c r="Q96" s="73"/>
      <c r="R96" s="73"/>
      <c r="S96" s="71">
        <v>729987.91</v>
      </c>
      <c r="T96" s="74" t="s">
        <v>254</v>
      </c>
      <c r="U96" s="74">
        <v>92288.93</v>
      </c>
      <c r="V96" s="74">
        <f>SUM(LIST_LOCATIONDETAILS334[[#This Row],[Building]:[BI]])</f>
        <v>822276.84000000008</v>
      </c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0" t="s">
        <v>269</v>
      </c>
      <c r="AQ96" s="62"/>
      <c r="AR96" s="62"/>
      <c r="AS96" s="60" t="s">
        <v>282</v>
      </c>
      <c r="AT96" s="60">
        <v>1974</v>
      </c>
      <c r="AU96" s="62"/>
      <c r="AV96" s="63"/>
      <c r="AW96" s="63"/>
      <c r="AX96" s="62"/>
      <c r="AY96" s="62"/>
      <c r="AZ96" s="60">
        <v>2</v>
      </c>
      <c r="BA96" s="60">
        <v>5836</v>
      </c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2"/>
      <c r="CB96" s="62"/>
      <c r="CC96" s="62"/>
      <c r="CD96" s="62"/>
      <c r="CE96" s="62"/>
      <c r="CF96" s="62"/>
      <c r="CG96" s="62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  <c r="EA96" s="62"/>
      <c r="EB96" s="62"/>
      <c r="EC96" s="62"/>
      <c r="ED96" s="62"/>
      <c r="EE96" s="62"/>
      <c r="EF96" s="62"/>
      <c r="EG96" s="62"/>
      <c r="EH96" s="62"/>
      <c r="EI96" s="62"/>
      <c r="EJ96" s="62"/>
      <c r="EK96" s="62"/>
      <c r="EL96" s="62"/>
      <c r="EM96" s="62"/>
      <c r="EN96" s="62"/>
      <c r="EO96" s="62"/>
      <c r="EP96" s="62"/>
      <c r="EQ96" s="62"/>
      <c r="ER96" s="62"/>
      <c r="ES96" s="62"/>
      <c r="ET96" s="62"/>
      <c r="EU96" s="62"/>
      <c r="EV96" s="62"/>
      <c r="EW96" s="62"/>
      <c r="EX96" s="62"/>
      <c r="EY96" s="62"/>
      <c r="EZ96" s="62"/>
      <c r="FA96" s="62"/>
      <c r="FB96" s="62"/>
      <c r="FC96" s="62"/>
      <c r="FD96" s="62"/>
      <c r="FE96" s="62"/>
      <c r="FF96" s="62"/>
      <c r="FG96" s="62"/>
      <c r="FH96" s="62"/>
      <c r="FI96" s="62"/>
      <c r="FJ96" s="67"/>
      <c r="FK96" s="67"/>
      <c r="FL96" s="67"/>
      <c r="FM96" s="67"/>
      <c r="FN96" s="67"/>
      <c r="FO96" s="67"/>
      <c r="FP96" s="67"/>
      <c r="FQ96" s="67"/>
      <c r="FR96" s="62"/>
      <c r="FS96" s="62"/>
      <c r="FT96" s="62"/>
      <c r="FU96" s="62"/>
      <c r="FV96" s="62"/>
      <c r="FW96" s="62"/>
      <c r="FX96" s="62"/>
      <c r="FY96" s="62"/>
      <c r="FZ96" s="62"/>
      <c r="GA96" s="62"/>
      <c r="GB96" s="62"/>
      <c r="GC96" s="62"/>
      <c r="GD96" s="62"/>
      <c r="GE96" s="62"/>
      <c r="GF96" s="63"/>
      <c r="GG96" s="63"/>
      <c r="GH96" s="62"/>
      <c r="GI96" s="62"/>
      <c r="GJ96" s="62"/>
      <c r="GK96" s="62"/>
      <c r="GL96" s="62"/>
      <c r="GM96" s="62"/>
      <c r="GN96" s="62"/>
      <c r="GO96" s="62"/>
      <c r="GP96" s="62"/>
      <c r="GQ96" s="62"/>
      <c r="GR96" s="62"/>
      <c r="GS96" s="62"/>
      <c r="GT96" s="62"/>
      <c r="GU96" s="62"/>
      <c r="GV96" s="62"/>
      <c r="GW96" s="62"/>
      <c r="GX96" s="62"/>
      <c r="GY96" s="62"/>
      <c r="GZ96" s="62"/>
      <c r="HA96" s="62"/>
      <c r="HB96" s="62"/>
      <c r="HC96" s="62"/>
      <c r="HD96" s="62"/>
      <c r="HE96" s="62"/>
      <c r="HF96" s="62"/>
      <c r="HG96" s="68" t="s">
        <v>257</v>
      </c>
      <c r="HH96" s="62" t="s">
        <v>258</v>
      </c>
      <c r="HI96" s="62"/>
      <c r="HJ96" s="62">
        <v>6</v>
      </c>
      <c r="HK96" s="62" t="s">
        <v>331</v>
      </c>
      <c r="HL96" s="62" t="s">
        <v>270</v>
      </c>
      <c r="HM96" s="62" t="s">
        <v>331</v>
      </c>
      <c r="HN96" s="62" t="s">
        <v>331</v>
      </c>
      <c r="HO96" s="62" t="s">
        <v>331</v>
      </c>
      <c r="HP96" s="70">
        <v>0.74</v>
      </c>
      <c r="HQ96" s="70">
        <v>0</v>
      </c>
      <c r="HR96" s="70">
        <v>0</v>
      </c>
      <c r="HS96" s="70">
        <v>0</v>
      </c>
      <c r="HT96" s="70">
        <v>0.95</v>
      </c>
      <c r="HU96" s="62" t="s">
        <v>271</v>
      </c>
      <c r="HV96" s="62" t="s">
        <v>263</v>
      </c>
      <c r="HW96" s="62"/>
      <c r="HX96" s="62"/>
    </row>
    <row r="97" spans="2:232" hidden="1" x14ac:dyDescent="0.2">
      <c r="B97" s="60">
        <v>21</v>
      </c>
      <c r="C97" s="60">
        <v>3</v>
      </c>
      <c r="D97" s="61" t="s">
        <v>347</v>
      </c>
      <c r="E97" s="62"/>
      <c r="F97" s="62"/>
      <c r="G97" s="62"/>
      <c r="H97" s="62"/>
      <c r="I97" s="62"/>
      <c r="J97" s="61" t="s">
        <v>348</v>
      </c>
      <c r="K97" s="60" t="s">
        <v>347</v>
      </c>
      <c r="L97" s="62" t="s">
        <v>317</v>
      </c>
      <c r="M97" s="63">
        <v>2895</v>
      </c>
      <c r="N97" s="73" t="s">
        <v>316</v>
      </c>
      <c r="O97" s="73"/>
      <c r="P97" s="73"/>
      <c r="Q97" s="73"/>
      <c r="R97" s="73"/>
      <c r="S97" s="71">
        <v>729987.91</v>
      </c>
      <c r="T97" s="74" t="s">
        <v>254</v>
      </c>
      <c r="U97" s="74">
        <v>92288.93</v>
      </c>
      <c r="V97" s="74">
        <f>SUM(LIST_LOCATIONDETAILS334[[#This Row],[Building]:[BI]])</f>
        <v>822276.84000000008</v>
      </c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0" t="s">
        <v>269</v>
      </c>
      <c r="AQ97" s="62"/>
      <c r="AR97" s="62"/>
      <c r="AS97" s="60" t="s">
        <v>282</v>
      </c>
      <c r="AT97" s="60">
        <v>1974</v>
      </c>
      <c r="AU97" s="62"/>
      <c r="AV97" s="63"/>
      <c r="AW97" s="63"/>
      <c r="AX97" s="62"/>
      <c r="AY97" s="62"/>
      <c r="AZ97" s="60">
        <v>2</v>
      </c>
      <c r="BA97" s="60">
        <v>5836</v>
      </c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2"/>
      <c r="CB97" s="62"/>
      <c r="CC97" s="62"/>
      <c r="CD97" s="62"/>
      <c r="CE97" s="62"/>
      <c r="CF97" s="62"/>
      <c r="CG97" s="62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  <c r="EA97" s="62"/>
      <c r="EB97" s="62"/>
      <c r="EC97" s="62"/>
      <c r="ED97" s="62"/>
      <c r="EE97" s="62"/>
      <c r="EF97" s="62"/>
      <c r="EG97" s="62"/>
      <c r="EH97" s="62"/>
      <c r="EI97" s="62"/>
      <c r="EJ97" s="62"/>
      <c r="EK97" s="62"/>
      <c r="EL97" s="62"/>
      <c r="EM97" s="62"/>
      <c r="EN97" s="62"/>
      <c r="EO97" s="62"/>
      <c r="EP97" s="62"/>
      <c r="EQ97" s="62"/>
      <c r="ER97" s="62"/>
      <c r="ES97" s="62"/>
      <c r="ET97" s="62"/>
      <c r="EU97" s="62"/>
      <c r="EV97" s="62"/>
      <c r="EW97" s="62"/>
      <c r="EX97" s="62"/>
      <c r="EY97" s="62"/>
      <c r="EZ97" s="62"/>
      <c r="FA97" s="62"/>
      <c r="FB97" s="62"/>
      <c r="FC97" s="62"/>
      <c r="FD97" s="62"/>
      <c r="FE97" s="62"/>
      <c r="FF97" s="62"/>
      <c r="FG97" s="62"/>
      <c r="FH97" s="62"/>
      <c r="FI97" s="62"/>
      <c r="FJ97" s="67"/>
      <c r="FK97" s="67"/>
      <c r="FL97" s="67"/>
      <c r="FM97" s="67"/>
      <c r="FN97" s="67"/>
      <c r="FO97" s="67"/>
      <c r="FP97" s="67"/>
      <c r="FQ97" s="67"/>
      <c r="FR97" s="62"/>
      <c r="FS97" s="62"/>
      <c r="FT97" s="62"/>
      <c r="FU97" s="62"/>
      <c r="FV97" s="62"/>
      <c r="FW97" s="62"/>
      <c r="FX97" s="62"/>
      <c r="FY97" s="62"/>
      <c r="FZ97" s="62"/>
      <c r="GA97" s="62"/>
      <c r="GB97" s="62"/>
      <c r="GC97" s="62"/>
      <c r="GD97" s="62"/>
      <c r="GE97" s="62"/>
      <c r="GF97" s="63"/>
      <c r="GG97" s="63"/>
      <c r="GH97" s="62"/>
      <c r="GI97" s="62"/>
      <c r="GJ97" s="62"/>
      <c r="GK97" s="62"/>
      <c r="GL97" s="62"/>
      <c r="GM97" s="62"/>
      <c r="GN97" s="62"/>
      <c r="GO97" s="62"/>
      <c r="GP97" s="62"/>
      <c r="GQ97" s="62"/>
      <c r="GR97" s="62"/>
      <c r="GS97" s="62"/>
      <c r="GT97" s="62"/>
      <c r="GU97" s="62"/>
      <c r="GV97" s="62"/>
      <c r="GW97" s="62"/>
      <c r="GX97" s="62"/>
      <c r="GY97" s="62"/>
      <c r="GZ97" s="62"/>
      <c r="HA97" s="62"/>
      <c r="HB97" s="62"/>
      <c r="HC97" s="62"/>
      <c r="HD97" s="62"/>
      <c r="HE97" s="62"/>
      <c r="HF97" s="62"/>
      <c r="HG97" s="68" t="s">
        <v>257</v>
      </c>
      <c r="HH97" s="62" t="s">
        <v>258</v>
      </c>
      <c r="HI97" s="62"/>
      <c r="HJ97" s="62">
        <v>6</v>
      </c>
      <c r="HK97" s="62" t="s">
        <v>331</v>
      </c>
      <c r="HL97" s="62" t="s">
        <v>270</v>
      </c>
      <c r="HM97" s="62" t="s">
        <v>331</v>
      </c>
      <c r="HN97" s="62" t="s">
        <v>331</v>
      </c>
      <c r="HO97" s="62" t="s">
        <v>331</v>
      </c>
      <c r="HP97" s="70">
        <v>0.74</v>
      </c>
      <c r="HQ97" s="70">
        <v>0</v>
      </c>
      <c r="HR97" s="70">
        <v>0</v>
      </c>
      <c r="HS97" s="70">
        <v>0</v>
      </c>
      <c r="HT97" s="70">
        <v>0.95</v>
      </c>
      <c r="HU97" s="62" t="s">
        <v>271</v>
      </c>
      <c r="HV97" s="62" t="s">
        <v>263</v>
      </c>
      <c r="HW97" s="62"/>
      <c r="HX97" s="62"/>
    </row>
    <row r="98" spans="2:232" hidden="1" x14ac:dyDescent="0.2">
      <c r="B98" s="60">
        <v>21</v>
      </c>
      <c r="C98" s="60">
        <v>4</v>
      </c>
      <c r="D98" s="61" t="s">
        <v>347</v>
      </c>
      <c r="E98" s="62"/>
      <c r="F98" s="62"/>
      <c r="G98" s="62"/>
      <c r="H98" s="62"/>
      <c r="I98" s="62"/>
      <c r="J98" s="61" t="s">
        <v>348</v>
      </c>
      <c r="K98" s="60" t="s">
        <v>347</v>
      </c>
      <c r="L98" s="62" t="s">
        <v>317</v>
      </c>
      <c r="M98" s="63">
        <v>2895</v>
      </c>
      <c r="N98" s="73" t="s">
        <v>316</v>
      </c>
      <c r="O98" s="73"/>
      <c r="P98" s="73"/>
      <c r="Q98" s="73"/>
      <c r="R98" s="73"/>
      <c r="S98" s="71">
        <v>1438211.27</v>
      </c>
      <c r="T98" s="74" t="s">
        <v>254</v>
      </c>
      <c r="U98" s="74">
        <v>181826.27</v>
      </c>
      <c r="V98" s="74">
        <f>SUM(LIST_LOCATIONDETAILS334[[#This Row],[Building]:[BI]])</f>
        <v>1620037.54</v>
      </c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0" t="s">
        <v>269</v>
      </c>
      <c r="AQ98" s="62"/>
      <c r="AR98" s="62"/>
      <c r="AS98" s="60" t="s">
        <v>282</v>
      </c>
      <c r="AT98" s="60">
        <v>1974</v>
      </c>
      <c r="AU98" s="62"/>
      <c r="AV98" s="63"/>
      <c r="AW98" s="63"/>
      <c r="AX98" s="62"/>
      <c r="AY98" s="62"/>
      <c r="AZ98" s="60">
        <v>2</v>
      </c>
      <c r="BA98" s="60">
        <v>11498</v>
      </c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2"/>
      <c r="CB98" s="62"/>
      <c r="CC98" s="62"/>
      <c r="CD98" s="62"/>
      <c r="CE98" s="62"/>
      <c r="CF98" s="62"/>
      <c r="CG98" s="62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  <c r="EA98" s="62"/>
      <c r="EB98" s="62"/>
      <c r="EC98" s="62"/>
      <c r="ED98" s="62"/>
      <c r="EE98" s="62"/>
      <c r="EF98" s="62"/>
      <c r="EG98" s="62"/>
      <c r="EH98" s="62"/>
      <c r="EI98" s="62"/>
      <c r="EJ98" s="62"/>
      <c r="EK98" s="62"/>
      <c r="EL98" s="62"/>
      <c r="EM98" s="62"/>
      <c r="EN98" s="62"/>
      <c r="EO98" s="62"/>
      <c r="EP98" s="62"/>
      <c r="EQ98" s="62"/>
      <c r="ER98" s="62"/>
      <c r="ES98" s="62"/>
      <c r="ET98" s="62"/>
      <c r="EU98" s="62"/>
      <c r="EV98" s="62"/>
      <c r="EW98" s="62"/>
      <c r="EX98" s="62"/>
      <c r="EY98" s="62"/>
      <c r="EZ98" s="62"/>
      <c r="FA98" s="62"/>
      <c r="FB98" s="62"/>
      <c r="FC98" s="62"/>
      <c r="FD98" s="62"/>
      <c r="FE98" s="62"/>
      <c r="FF98" s="62"/>
      <c r="FG98" s="62"/>
      <c r="FH98" s="62"/>
      <c r="FI98" s="62"/>
      <c r="FJ98" s="67"/>
      <c r="FK98" s="67"/>
      <c r="FL98" s="67"/>
      <c r="FM98" s="67"/>
      <c r="FN98" s="67"/>
      <c r="FO98" s="67"/>
      <c r="FP98" s="67"/>
      <c r="FQ98" s="67"/>
      <c r="FR98" s="62"/>
      <c r="FS98" s="62"/>
      <c r="FT98" s="62"/>
      <c r="FU98" s="62"/>
      <c r="FV98" s="62"/>
      <c r="FW98" s="62"/>
      <c r="FX98" s="62"/>
      <c r="FY98" s="62"/>
      <c r="FZ98" s="62"/>
      <c r="GA98" s="62"/>
      <c r="GB98" s="62"/>
      <c r="GC98" s="62"/>
      <c r="GD98" s="62"/>
      <c r="GE98" s="62"/>
      <c r="GF98" s="63"/>
      <c r="GG98" s="63"/>
      <c r="GH98" s="62"/>
      <c r="GI98" s="62"/>
      <c r="GJ98" s="62"/>
      <c r="GK98" s="62"/>
      <c r="GL98" s="62"/>
      <c r="GM98" s="62"/>
      <c r="GN98" s="62"/>
      <c r="GO98" s="62"/>
      <c r="GP98" s="62"/>
      <c r="GQ98" s="62"/>
      <c r="GR98" s="62"/>
      <c r="GS98" s="62"/>
      <c r="GT98" s="62"/>
      <c r="GU98" s="62"/>
      <c r="GV98" s="62"/>
      <c r="GW98" s="62"/>
      <c r="GX98" s="62"/>
      <c r="GY98" s="62"/>
      <c r="GZ98" s="62"/>
      <c r="HA98" s="62"/>
      <c r="HB98" s="62"/>
      <c r="HC98" s="62"/>
      <c r="HD98" s="62"/>
      <c r="HE98" s="62"/>
      <c r="HF98" s="62"/>
      <c r="HG98" s="68" t="s">
        <v>257</v>
      </c>
      <c r="HH98" s="62" t="s">
        <v>258</v>
      </c>
      <c r="HI98" s="62"/>
      <c r="HJ98" s="62">
        <v>11</v>
      </c>
      <c r="HK98" s="62" t="s">
        <v>331</v>
      </c>
      <c r="HL98" s="62" t="s">
        <v>270</v>
      </c>
      <c r="HM98" s="62" t="s">
        <v>331</v>
      </c>
      <c r="HN98" s="62" t="s">
        <v>331</v>
      </c>
      <c r="HO98" s="62" t="s">
        <v>331</v>
      </c>
      <c r="HP98" s="70">
        <v>0.74</v>
      </c>
      <c r="HQ98" s="70">
        <v>0</v>
      </c>
      <c r="HR98" s="70">
        <v>0</v>
      </c>
      <c r="HS98" s="70">
        <v>0</v>
      </c>
      <c r="HT98" s="70">
        <v>0.95</v>
      </c>
      <c r="HU98" s="62" t="s">
        <v>271</v>
      </c>
      <c r="HV98" s="62" t="s">
        <v>263</v>
      </c>
      <c r="HW98" s="62"/>
      <c r="HX98" s="62"/>
    </row>
    <row r="99" spans="2:232" hidden="1" x14ac:dyDescent="0.2">
      <c r="B99" s="60">
        <v>21</v>
      </c>
      <c r="C99" s="60">
        <v>5</v>
      </c>
      <c r="D99" s="61" t="s">
        <v>347</v>
      </c>
      <c r="E99" s="62"/>
      <c r="F99" s="62"/>
      <c r="G99" s="62"/>
      <c r="H99" s="62"/>
      <c r="I99" s="62"/>
      <c r="J99" s="61" t="s">
        <v>348</v>
      </c>
      <c r="K99" s="60" t="s">
        <v>347</v>
      </c>
      <c r="L99" s="62" t="s">
        <v>317</v>
      </c>
      <c r="M99" s="63">
        <v>2895</v>
      </c>
      <c r="N99" s="73" t="s">
        <v>316</v>
      </c>
      <c r="O99" s="73"/>
      <c r="P99" s="73"/>
      <c r="Q99" s="73"/>
      <c r="R99" s="73"/>
      <c r="S99" s="71">
        <v>2264013.2200000002</v>
      </c>
      <c r="T99" s="74" t="s">
        <v>254</v>
      </c>
      <c r="U99" s="74">
        <v>286228.51</v>
      </c>
      <c r="V99" s="74">
        <f>SUM(LIST_LOCATIONDETAILS334[[#This Row],[Building]:[BI]])</f>
        <v>2550241.7300000004</v>
      </c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0" t="s">
        <v>269</v>
      </c>
      <c r="AQ99" s="62"/>
      <c r="AR99" s="62"/>
      <c r="AS99" s="60" t="s">
        <v>282</v>
      </c>
      <c r="AT99" s="60">
        <v>1974</v>
      </c>
      <c r="AU99" s="62"/>
      <c r="AV99" s="63"/>
      <c r="AW99" s="63"/>
      <c r="AX99" s="62"/>
      <c r="AY99" s="62"/>
      <c r="AZ99" s="60">
        <v>2</v>
      </c>
      <c r="BA99" s="60">
        <v>18100</v>
      </c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2"/>
      <c r="CB99" s="62"/>
      <c r="CC99" s="62"/>
      <c r="CD99" s="62"/>
      <c r="CE99" s="62"/>
      <c r="CF99" s="62"/>
      <c r="CG99" s="62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  <c r="EA99" s="62"/>
      <c r="EB99" s="62"/>
      <c r="EC99" s="62"/>
      <c r="ED99" s="62"/>
      <c r="EE99" s="62"/>
      <c r="EF99" s="62"/>
      <c r="EG99" s="62"/>
      <c r="EH99" s="62"/>
      <c r="EI99" s="62"/>
      <c r="EJ99" s="62"/>
      <c r="EK99" s="62"/>
      <c r="EL99" s="62"/>
      <c r="EM99" s="62"/>
      <c r="EN99" s="62"/>
      <c r="EO99" s="62"/>
      <c r="EP99" s="62"/>
      <c r="EQ99" s="62"/>
      <c r="ER99" s="62"/>
      <c r="ES99" s="62"/>
      <c r="ET99" s="62"/>
      <c r="EU99" s="62"/>
      <c r="EV99" s="62"/>
      <c r="EW99" s="62"/>
      <c r="EX99" s="62"/>
      <c r="EY99" s="62"/>
      <c r="EZ99" s="62"/>
      <c r="FA99" s="62"/>
      <c r="FB99" s="62"/>
      <c r="FC99" s="62"/>
      <c r="FD99" s="62"/>
      <c r="FE99" s="62"/>
      <c r="FF99" s="62"/>
      <c r="FG99" s="62"/>
      <c r="FH99" s="62"/>
      <c r="FI99" s="62"/>
      <c r="FJ99" s="67"/>
      <c r="FK99" s="67"/>
      <c r="FL99" s="67"/>
      <c r="FM99" s="67"/>
      <c r="FN99" s="67"/>
      <c r="FO99" s="67"/>
      <c r="FP99" s="67"/>
      <c r="FQ99" s="67"/>
      <c r="FR99" s="62"/>
      <c r="FS99" s="62"/>
      <c r="FT99" s="62"/>
      <c r="FU99" s="62"/>
      <c r="FV99" s="62"/>
      <c r="FW99" s="62"/>
      <c r="FX99" s="62"/>
      <c r="FY99" s="62"/>
      <c r="FZ99" s="62"/>
      <c r="GA99" s="62"/>
      <c r="GB99" s="62"/>
      <c r="GC99" s="62"/>
      <c r="GD99" s="62"/>
      <c r="GE99" s="62"/>
      <c r="GF99" s="63"/>
      <c r="GG99" s="63"/>
      <c r="GH99" s="62"/>
      <c r="GI99" s="62"/>
      <c r="GJ99" s="62"/>
      <c r="GK99" s="62"/>
      <c r="GL99" s="62"/>
      <c r="GM99" s="62"/>
      <c r="GN99" s="62"/>
      <c r="GO99" s="62"/>
      <c r="GP99" s="62"/>
      <c r="GQ99" s="62"/>
      <c r="GR99" s="62"/>
      <c r="GS99" s="62"/>
      <c r="GT99" s="62"/>
      <c r="GU99" s="62"/>
      <c r="GV99" s="62"/>
      <c r="GW99" s="62"/>
      <c r="GX99" s="62"/>
      <c r="GY99" s="62"/>
      <c r="GZ99" s="62"/>
      <c r="HA99" s="62"/>
      <c r="HB99" s="62"/>
      <c r="HC99" s="62"/>
      <c r="HD99" s="62"/>
      <c r="HE99" s="62"/>
      <c r="HF99" s="62"/>
      <c r="HG99" s="68" t="s">
        <v>257</v>
      </c>
      <c r="HH99" s="62" t="s">
        <v>258</v>
      </c>
      <c r="HI99" s="62"/>
      <c r="HJ99" s="62">
        <v>16</v>
      </c>
      <c r="HK99" s="62" t="s">
        <v>331</v>
      </c>
      <c r="HL99" s="62" t="s">
        <v>270</v>
      </c>
      <c r="HM99" s="62" t="s">
        <v>331</v>
      </c>
      <c r="HN99" s="62" t="s">
        <v>331</v>
      </c>
      <c r="HO99" s="62" t="s">
        <v>331</v>
      </c>
      <c r="HP99" s="70">
        <v>0.74</v>
      </c>
      <c r="HQ99" s="70">
        <v>0</v>
      </c>
      <c r="HR99" s="70">
        <v>0</v>
      </c>
      <c r="HS99" s="70">
        <v>0</v>
      </c>
      <c r="HT99" s="70">
        <v>0.95</v>
      </c>
      <c r="HU99" s="62" t="s">
        <v>271</v>
      </c>
      <c r="HV99" s="62" t="s">
        <v>263</v>
      </c>
      <c r="HW99" s="62"/>
      <c r="HX99" s="62"/>
    </row>
    <row r="100" spans="2:232" hidden="1" x14ac:dyDescent="0.2">
      <c r="B100" s="60">
        <v>21</v>
      </c>
      <c r="C100" s="60">
        <v>6</v>
      </c>
      <c r="D100" s="61" t="s">
        <v>347</v>
      </c>
      <c r="E100" s="62"/>
      <c r="F100" s="62"/>
      <c r="G100" s="62"/>
      <c r="H100" s="62"/>
      <c r="I100" s="62"/>
      <c r="J100" s="61" t="s">
        <v>348</v>
      </c>
      <c r="K100" s="60" t="s">
        <v>347</v>
      </c>
      <c r="L100" s="62" t="s">
        <v>317</v>
      </c>
      <c r="M100" s="63">
        <v>2895</v>
      </c>
      <c r="N100" s="73" t="s">
        <v>316</v>
      </c>
      <c r="O100" s="73"/>
      <c r="P100" s="73"/>
      <c r="Q100" s="73"/>
      <c r="R100" s="73"/>
      <c r="S100" s="71">
        <v>729987.91</v>
      </c>
      <c r="T100" s="74" t="s">
        <v>254</v>
      </c>
      <c r="U100" s="74">
        <v>92288.93</v>
      </c>
      <c r="V100" s="74">
        <f>SUM(LIST_LOCATIONDETAILS334[[#This Row],[Building]:[BI]])</f>
        <v>822276.84000000008</v>
      </c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0" t="s">
        <v>269</v>
      </c>
      <c r="AQ100" s="62"/>
      <c r="AR100" s="62"/>
      <c r="AS100" s="60" t="s">
        <v>282</v>
      </c>
      <c r="AT100" s="60">
        <v>1974</v>
      </c>
      <c r="AU100" s="62"/>
      <c r="AV100" s="63"/>
      <c r="AW100" s="63"/>
      <c r="AX100" s="62"/>
      <c r="AY100" s="62"/>
      <c r="AZ100" s="60">
        <v>2</v>
      </c>
      <c r="BA100" s="60">
        <v>5836</v>
      </c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2"/>
      <c r="CB100" s="62"/>
      <c r="CC100" s="62"/>
      <c r="CD100" s="62"/>
      <c r="CE100" s="62"/>
      <c r="CF100" s="62"/>
      <c r="CG100" s="62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  <c r="EA100" s="62"/>
      <c r="EB100" s="62"/>
      <c r="EC100" s="62"/>
      <c r="ED100" s="62"/>
      <c r="EE100" s="62"/>
      <c r="EF100" s="62"/>
      <c r="EG100" s="62"/>
      <c r="EH100" s="62"/>
      <c r="EI100" s="62"/>
      <c r="EJ100" s="62"/>
      <c r="EK100" s="62"/>
      <c r="EL100" s="62"/>
      <c r="EM100" s="62"/>
      <c r="EN100" s="62"/>
      <c r="EO100" s="62"/>
      <c r="EP100" s="62"/>
      <c r="EQ100" s="62"/>
      <c r="ER100" s="62"/>
      <c r="ES100" s="62"/>
      <c r="ET100" s="62"/>
      <c r="EU100" s="62"/>
      <c r="EV100" s="62"/>
      <c r="EW100" s="62"/>
      <c r="EX100" s="62"/>
      <c r="EY100" s="62"/>
      <c r="EZ100" s="62"/>
      <c r="FA100" s="62"/>
      <c r="FB100" s="62"/>
      <c r="FC100" s="62"/>
      <c r="FD100" s="62"/>
      <c r="FE100" s="62"/>
      <c r="FF100" s="62"/>
      <c r="FG100" s="62"/>
      <c r="FH100" s="62"/>
      <c r="FI100" s="62"/>
      <c r="FJ100" s="67"/>
      <c r="FK100" s="67"/>
      <c r="FL100" s="67"/>
      <c r="FM100" s="67"/>
      <c r="FN100" s="67"/>
      <c r="FO100" s="67"/>
      <c r="FP100" s="67"/>
      <c r="FQ100" s="67"/>
      <c r="FR100" s="62"/>
      <c r="FS100" s="62"/>
      <c r="FT100" s="62"/>
      <c r="FU100" s="62"/>
      <c r="FV100" s="62"/>
      <c r="FW100" s="62"/>
      <c r="FX100" s="62"/>
      <c r="FY100" s="62"/>
      <c r="FZ100" s="62"/>
      <c r="GA100" s="62"/>
      <c r="GB100" s="62"/>
      <c r="GC100" s="62"/>
      <c r="GD100" s="62"/>
      <c r="GE100" s="62"/>
      <c r="GF100" s="63"/>
      <c r="GG100" s="63"/>
      <c r="GH100" s="62"/>
      <c r="GI100" s="62"/>
      <c r="GJ100" s="62"/>
      <c r="GK100" s="62"/>
      <c r="GL100" s="62"/>
      <c r="GM100" s="62"/>
      <c r="GN100" s="62"/>
      <c r="GO100" s="62"/>
      <c r="GP100" s="62"/>
      <c r="GQ100" s="62"/>
      <c r="GR100" s="62"/>
      <c r="GS100" s="62"/>
      <c r="GT100" s="62"/>
      <c r="GU100" s="62"/>
      <c r="GV100" s="62"/>
      <c r="GW100" s="62"/>
      <c r="GX100" s="62"/>
      <c r="GY100" s="62"/>
      <c r="GZ100" s="62"/>
      <c r="HA100" s="62"/>
      <c r="HB100" s="62"/>
      <c r="HC100" s="62"/>
      <c r="HD100" s="62"/>
      <c r="HE100" s="62"/>
      <c r="HF100" s="62"/>
      <c r="HG100" s="68" t="s">
        <v>257</v>
      </c>
      <c r="HH100" s="62" t="s">
        <v>258</v>
      </c>
      <c r="HI100" s="62"/>
      <c r="HJ100" s="62">
        <v>6</v>
      </c>
      <c r="HK100" s="62" t="s">
        <v>331</v>
      </c>
      <c r="HL100" s="62" t="s">
        <v>270</v>
      </c>
      <c r="HM100" s="62" t="s">
        <v>331</v>
      </c>
      <c r="HN100" s="62" t="s">
        <v>331</v>
      </c>
      <c r="HO100" s="62" t="s">
        <v>331</v>
      </c>
      <c r="HP100" s="70">
        <v>0.74</v>
      </c>
      <c r="HQ100" s="70">
        <v>0</v>
      </c>
      <c r="HR100" s="70">
        <v>0</v>
      </c>
      <c r="HS100" s="70">
        <v>0</v>
      </c>
      <c r="HT100" s="70">
        <v>0.95</v>
      </c>
      <c r="HU100" s="62" t="s">
        <v>271</v>
      </c>
      <c r="HV100" s="62" t="s">
        <v>263</v>
      </c>
      <c r="HW100" s="62"/>
      <c r="HX100" s="62"/>
    </row>
    <row r="101" spans="2:232" hidden="1" x14ac:dyDescent="0.2">
      <c r="B101" s="60">
        <v>21</v>
      </c>
      <c r="C101" s="60">
        <v>7</v>
      </c>
      <c r="D101" s="61" t="s">
        <v>347</v>
      </c>
      <c r="E101" s="62"/>
      <c r="F101" s="62"/>
      <c r="G101" s="62"/>
      <c r="H101" s="62"/>
      <c r="I101" s="62"/>
      <c r="J101" s="61" t="s">
        <v>348</v>
      </c>
      <c r="K101" s="60" t="s">
        <v>347</v>
      </c>
      <c r="L101" s="62" t="s">
        <v>317</v>
      </c>
      <c r="M101" s="63">
        <v>2895</v>
      </c>
      <c r="N101" s="73" t="s">
        <v>316</v>
      </c>
      <c r="O101" s="73"/>
      <c r="P101" s="73"/>
      <c r="Q101" s="73"/>
      <c r="R101" s="73"/>
      <c r="S101" s="71">
        <v>1308374.49</v>
      </c>
      <c r="T101" s="74" t="s">
        <v>254</v>
      </c>
      <c r="U101" s="74">
        <v>165411.62</v>
      </c>
      <c r="V101" s="74">
        <f>SUM(LIST_LOCATIONDETAILS334[[#This Row],[Building]:[BI]])</f>
        <v>1473786.1099999999</v>
      </c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0" t="s">
        <v>269</v>
      </c>
      <c r="AQ101" s="62"/>
      <c r="AR101" s="62"/>
      <c r="AS101" s="60" t="s">
        <v>282</v>
      </c>
      <c r="AT101" s="60">
        <v>1974</v>
      </c>
      <c r="AU101" s="62"/>
      <c r="AV101" s="63"/>
      <c r="AW101" s="63"/>
      <c r="AX101" s="62"/>
      <c r="AY101" s="62"/>
      <c r="AZ101" s="60">
        <v>2</v>
      </c>
      <c r="BA101" s="60">
        <v>10460</v>
      </c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2"/>
      <c r="CB101" s="62"/>
      <c r="CC101" s="62"/>
      <c r="CD101" s="62"/>
      <c r="CE101" s="62"/>
      <c r="CF101" s="62"/>
      <c r="CG101" s="62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  <c r="EA101" s="62"/>
      <c r="EB101" s="62"/>
      <c r="EC101" s="62"/>
      <c r="ED101" s="62"/>
      <c r="EE101" s="62"/>
      <c r="EF101" s="62"/>
      <c r="EG101" s="62"/>
      <c r="EH101" s="62"/>
      <c r="EI101" s="62"/>
      <c r="EJ101" s="62"/>
      <c r="EK101" s="62"/>
      <c r="EL101" s="62"/>
      <c r="EM101" s="62"/>
      <c r="EN101" s="62"/>
      <c r="EO101" s="62"/>
      <c r="EP101" s="62"/>
      <c r="EQ101" s="62"/>
      <c r="ER101" s="62"/>
      <c r="ES101" s="62"/>
      <c r="ET101" s="62"/>
      <c r="EU101" s="62"/>
      <c r="EV101" s="62"/>
      <c r="EW101" s="62"/>
      <c r="EX101" s="62"/>
      <c r="EY101" s="62"/>
      <c r="EZ101" s="62"/>
      <c r="FA101" s="62"/>
      <c r="FB101" s="62"/>
      <c r="FC101" s="62"/>
      <c r="FD101" s="62"/>
      <c r="FE101" s="62"/>
      <c r="FF101" s="62"/>
      <c r="FG101" s="62"/>
      <c r="FH101" s="62"/>
      <c r="FI101" s="62"/>
      <c r="FJ101" s="67"/>
      <c r="FK101" s="67"/>
      <c r="FL101" s="67"/>
      <c r="FM101" s="67"/>
      <c r="FN101" s="67"/>
      <c r="FO101" s="67"/>
      <c r="FP101" s="67"/>
      <c r="FQ101" s="67"/>
      <c r="FR101" s="62"/>
      <c r="FS101" s="62"/>
      <c r="FT101" s="62"/>
      <c r="FU101" s="62"/>
      <c r="FV101" s="62"/>
      <c r="FW101" s="62"/>
      <c r="FX101" s="62"/>
      <c r="FY101" s="62"/>
      <c r="FZ101" s="62"/>
      <c r="GA101" s="62"/>
      <c r="GB101" s="62"/>
      <c r="GC101" s="62"/>
      <c r="GD101" s="62"/>
      <c r="GE101" s="62"/>
      <c r="GF101" s="63"/>
      <c r="GG101" s="63"/>
      <c r="GH101" s="62"/>
      <c r="GI101" s="62"/>
      <c r="GJ101" s="62"/>
      <c r="GK101" s="62"/>
      <c r="GL101" s="62"/>
      <c r="GM101" s="62"/>
      <c r="GN101" s="62"/>
      <c r="GO101" s="62"/>
      <c r="GP101" s="62"/>
      <c r="GQ101" s="62"/>
      <c r="GR101" s="62"/>
      <c r="GS101" s="62"/>
      <c r="GT101" s="62"/>
      <c r="GU101" s="62"/>
      <c r="GV101" s="62"/>
      <c r="GW101" s="62"/>
      <c r="GX101" s="62"/>
      <c r="GY101" s="62"/>
      <c r="GZ101" s="62"/>
      <c r="HA101" s="62"/>
      <c r="HB101" s="62"/>
      <c r="HC101" s="62"/>
      <c r="HD101" s="62"/>
      <c r="HE101" s="62"/>
      <c r="HF101" s="62"/>
      <c r="HG101" s="68" t="s">
        <v>257</v>
      </c>
      <c r="HH101" s="62" t="s">
        <v>258</v>
      </c>
      <c r="HI101" s="62"/>
      <c r="HJ101" s="62">
        <v>10</v>
      </c>
      <c r="HK101" s="62" t="s">
        <v>331</v>
      </c>
      <c r="HL101" s="62" t="s">
        <v>270</v>
      </c>
      <c r="HM101" s="62" t="s">
        <v>331</v>
      </c>
      <c r="HN101" s="62" t="s">
        <v>331</v>
      </c>
      <c r="HO101" s="62" t="s">
        <v>331</v>
      </c>
      <c r="HP101" s="70">
        <v>0.74</v>
      </c>
      <c r="HQ101" s="70">
        <v>0</v>
      </c>
      <c r="HR101" s="70">
        <v>0</v>
      </c>
      <c r="HS101" s="70">
        <v>0</v>
      </c>
      <c r="HT101" s="70">
        <v>0.95</v>
      </c>
      <c r="HU101" s="62" t="s">
        <v>271</v>
      </c>
      <c r="HV101" s="62" t="s">
        <v>263</v>
      </c>
      <c r="HW101" s="62"/>
      <c r="HX101" s="62"/>
    </row>
    <row r="102" spans="2:232" hidden="1" x14ac:dyDescent="0.2">
      <c r="B102" s="60">
        <v>21</v>
      </c>
      <c r="C102" s="60">
        <v>8</v>
      </c>
      <c r="D102" s="61" t="s">
        <v>347</v>
      </c>
      <c r="E102" s="62"/>
      <c r="F102" s="62"/>
      <c r="G102" s="62"/>
      <c r="H102" s="62"/>
      <c r="I102" s="62"/>
      <c r="J102" s="61" t="s">
        <v>348</v>
      </c>
      <c r="K102" s="60" t="s">
        <v>347</v>
      </c>
      <c r="L102" s="62" t="s">
        <v>317</v>
      </c>
      <c r="M102" s="63">
        <v>2895</v>
      </c>
      <c r="N102" s="73" t="s">
        <v>316</v>
      </c>
      <c r="O102" s="73"/>
      <c r="P102" s="73"/>
      <c r="Q102" s="73"/>
      <c r="R102" s="73"/>
      <c r="S102" s="71">
        <v>729987.91</v>
      </c>
      <c r="T102" s="74" t="s">
        <v>254</v>
      </c>
      <c r="U102" s="74">
        <v>92288.93</v>
      </c>
      <c r="V102" s="74">
        <f>SUM(LIST_LOCATIONDETAILS334[[#This Row],[Building]:[BI]])</f>
        <v>822276.84000000008</v>
      </c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0" t="s">
        <v>269</v>
      </c>
      <c r="AQ102" s="62"/>
      <c r="AR102" s="62"/>
      <c r="AS102" s="60" t="s">
        <v>282</v>
      </c>
      <c r="AT102" s="60">
        <v>1974</v>
      </c>
      <c r="AU102" s="62"/>
      <c r="AV102" s="63"/>
      <c r="AW102" s="63"/>
      <c r="AX102" s="62"/>
      <c r="AY102" s="62"/>
      <c r="AZ102" s="60">
        <v>2</v>
      </c>
      <c r="BA102" s="60">
        <v>5836</v>
      </c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2"/>
      <c r="CB102" s="62"/>
      <c r="CC102" s="62"/>
      <c r="CD102" s="62"/>
      <c r="CE102" s="62"/>
      <c r="CF102" s="62"/>
      <c r="CG102" s="62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  <c r="EA102" s="62"/>
      <c r="EB102" s="62"/>
      <c r="EC102" s="62"/>
      <c r="ED102" s="62"/>
      <c r="EE102" s="62"/>
      <c r="EF102" s="62"/>
      <c r="EG102" s="62"/>
      <c r="EH102" s="62"/>
      <c r="EI102" s="62"/>
      <c r="EJ102" s="62"/>
      <c r="EK102" s="62"/>
      <c r="EL102" s="62"/>
      <c r="EM102" s="62"/>
      <c r="EN102" s="62"/>
      <c r="EO102" s="62"/>
      <c r="EP102" s="62"/>
      <c r="EQ102" s="62"/>
      <c r="ER102" s="62"/>
      <c r="ES102" s="62"/>
      <c r="ET102" s="62"/>
      <c r="EU102" s="62"/>
      <c r="EV102" s="62"/>
      <c r="EW102" s="62"/>
      <c r="EX102" s="62"/>
      <c r="EY102" s="62"/>
      <c r="EZ102" s="62"/>
      <c r="FA102" s="62"/>
      <c r="FB102" s="62"/>
      <c r="FC102" s="62"/>
      <c r="FD102" s="62"/>
      <c r="FE102" s="62"/>
      <c r="FF102" s="62"/>
      <c r="FG102" s="62"/>
      <c r="FH102" s="62"/>
      <c r="FI102" s="62"/>
      <c r="FJ102" s="67"/>
      <c r="FK102" s="67"/>
      <c r="FL102" s="67"/>
      <c r="FM102" s="67"/>
      <c r="FN102" s="67"/>
      <c r="FO102" s="67"/>
      <c r="FP102" s="67"/>
      <c r="FQ102" s="67"/>
      <c r="FR102" s="62"/>
      <c r="FS102" s="62"/>
      <c r="FT102" s="62"/>
      <c r="FU102" s="62"/>
      <c r="FV102" s="62"/>
      <c r="FW102" s="62"/>
      <c r="FX102" s="62"/>
      <c r="FY102" s="62"/>
      <c r="FZ102" s="62"/>
      <c r="GA102" s="62"/>
      <c r="GB102" s="62"/>
      <c r="GC102" s="62"/>
      <c r="GD102" s="62"/>
      <c r="GE102" s="62"/>
      <c r="GF102" s="63"/>
      <c r="GG102" s="63"/>
      <c r="GH102" s="62"/>
      <c r="GI102" s="62"/>
      <c r="GJ102" s="62"/>
      <c r="GK102" s="62"/>
      <c r="GL102" s="62"/>
      <c r="GM102" s="62"/>
      <c r="GN102" s="62"/>
      <c r="GO102" s="62"/>
      <c r="GP102" s="62"/>
      <c r="GQ102" s="62"/>
      <c r="GR102" s="62"/>
      <c r="GS102" s="62"/>
      <c r="GT102" s="62"/>
      <c r="GU102" s="62"/>
      <c r="GV102" s="62"/>
      <c r="GW102" s="62"/>
      <c r="GX102" s="62"/>
      <c r="GY102" s="62"/>
      <c r="GZ102" s="62"/>
      <c r="HA102" s="62"/>
      <c r="HB102" s="62"/>
      <c r="HC102" s="62"/>
      <c r="HD102" s="62"/>
      <c r="HE102" s="62"/>
      <c r="HF102" s="62"/>
      <c r="HG102" s="68" t="s">
        <v>257</v>
      </c>
      <c r="HH102" s="62" t="s">
        <v>258</v>
      </c>
      <c r="HI102" s="62"/>
      <c r="HJ102" s="62">
        <v>6</v>
      </c>
      <c r="HK102" s="62" t="s">
        <v>331</v>
      </c>
      <c r="HL102" s="62" t="s">
        <v>270</v>
      </c>
      <c r="HM102" s="62" t="s">
        <v>331</v>
      </c>
      <c r="HN102" s="62" t="s">
        <v>331</v>
      </c>
      <c r="HO102" s="62" t="s">
        <v>331</v>
      </c>
      <c r="HP102" s="70">
        <v>0.74</v>
      </c>
      <c r="HQ102" s="70">
        <v>0</v>
      </c>
      <c r="HR102" s="70">
        <v>0</v>
      </c>
      <c r="HS102" s="70">
        <v>0</v>
      </c>
      <c r="HT102" s="70">
        <v>0.95</v>
      </c>
      <c r="HU102" s="62" t="s">
        <v>271</v>
      </c>
      <c r="HV102" s="62" t="s">
        <v>263</v>
      </c>
      <c r="HW102" s="62"/>
      <c r="HX102" s="62"/>
    </row>
    <row r="103" spans="2:232" hidden="1" x14ac:dyDescent="0.2">
      <c r="B103" s="60">
        <v>21</v>
      </c>
      <c r="C103" s="60">
        <v>9</v>
      </c>
      <c r="D103" s="61" t="s">
        <v>347</v>
      </c>
      <c r="E103" s="62"/>
      <c r="F103" s="62"/>
      <c r="G103" s="62"/>
      <c r="H103" s="62"/>
      <c r="I103" s="62"/>
      <c r="J103" s="61" t="s">
        <v>348</v>
      </c>
      <c r="K103" s="60" t="s">
        <v>347</v>
      </c>
      <c r="L103" s="62" t="s">
        <v>317</v>
      </c>
      <c r="M103" s="63">
        <v>2895</v>
      </c>
      <c r="N103" s="73" t="s">
        <v>316</v>
      </c>
      <c r="O103" s="73"/>
      <c r="P103" s="73"/>
      <c r="Q103" s="73"/>
      <c r="R103" s="73"/>
      <c r="S103" s="71">
        <v>1640096.2</v>
      </c>
      <c r="T103" s="74" t="s">
        <v>254</v>
      </c>
      <c r="U103" s="74">
        <v>207349.63</v>
      </c>
      <c r="V103" s="74">
        <f>SUM(LIST_LOCATIONDETAILS334[[#This Row],[Building]:[BI]])</f>
        <v>1847445.83</v>
      </c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0" t="s">
        <v>269</v>
      </c>
      <c r="AQ103" s="62"/>
      <c r="AR103" s="62"/>
      <c r="AS103" s="60" t="s">
        <v>282</v>
      </c>
      <c r="AT103" s="60">
        <v>1974</v>
      </c>
      <c r="AU103" s="62"/>
      <c r="AV103" s="63"/>
      <c r="AW103" s="63"/>
      <c r="AX103" s="62"/>
      <c r="AY103" s="62"/>
      <c r="AZ103" s="60">
        <v>2</v>
      </c>
      <c r="BA103" s="60">
        <v>13112</v>
      </c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2"/>
      <c r="CB103" s="62"/>
      <c r="CC103" s="62"/>
      <c r="CD103" s="62"/>
      <c r="CE103" s="62"/>
      <c r="CF103" s="62"/>
      <c r="CG103" s="62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  <c r="EA103" s="62"/>
      <c r="EB103" s="62"/>
      <c r="EC103" s="62"/>
      <c r="ED103" s="62"/>
      <c r="EE103" s="62"/>
      <c r="EF103" s="62"/>
      <c r="EG103" s="62"/>
      <c r="EH103" s="62"/>
      <c r="EI103" s="62"/>
      <c r="EJ103" s="62"/>
      <c r="EK103" s="62"/>
      <c r="EL103" s="62"/>
      <c r="EM103" s="62"/>
      <c r="EN103" s="62"/>
      <c r="EO103" s="62"/>
      <c r="EP103" s="62"/>
      <c r="EQ103" s="62"/>
      <c r="ER103" s="62"/>
      <c r="ES103" s="62"/>
      <c r="ET103" s="62"/>
      <c r="EU103" s="62"/>
      <c r="EV103" s="62"/>
      <c r="EW103" s="62"/>
      <c r="EX103" s="62"/>
      <c r="EY103" s="62"/>
      <c r="EZ103" s="62"/>
      <c r="FA103" s="62"/>
      <c r="FB103" s="62"/>
      <c r="FC103" s="62"/>
      <c r="FD103" s="62"/>
      <c r="FE103" s="62"/>
      <c r="FF103" s="62"/>
      <c r="FG103" s="62"/>
      <c r="FH103" s="62"/>
      <c r="FI103" s="62"/>
      <c r="FJ103" s="67"/>
      <c r="FK103" s="67"/>
      <c r="FL103" s="67"/>
      <c r="FM103" s="67"/>
      <c r="FN103" s="67"/>
      <c r="FO103" s="67"/>
      <c r="FP103" s="67"/>
      <c r="FQ103" s="67"/>
      <c r="FR103" s="62"/>
      <c r="FS103" s="62"/>
      <c r="FT103" s="62"/>
      <c r="FU103" s="62"/>
      <c r="FV103" s="62"/>
      <c r="FW103" s="62"/>
      <c r="FX103" s="62"/>
      <c r="FY103" s="62"/>
      <c r="FZ103" s="62"/>
      <c r="GA103" s="62"/>
      <c r="GB103" s="62"/>
      <c r="GC103" s="62"/>
      <c r="GD103" s="62"/>
      <c r="GE103" s="62"/>
      <c r="GF103" s="63"/>
      <c r="GG103" s="63"/>
      <c r="GH103" s="62"/>
      <c r="GI103" s="62"/>
      <c r="GJ103" s="62"/>
      <c r="GK103" s="62"/>
      <c r="GL103" s="62"/>
      <c r="GM103" s="62"/>
      <c r="GN103" s="62"/>
      <c r="GO103" s="62"/>
      <c r="GP103" s="62"/>
      <c r="GQ103" s="62"/>
      <c r="GR103" s="62"/>
      <c r="GS103" s="62"/>
      <c r="GT103" s="62"/>
      <c r="GU103" s="62"/>
      <c r="GV103" s="62"/>
      <c r="GW103" s="62"/>
      <c r="GX103" s="62"/>
      <c r="GY103" s="62"/>
      <c r="GZ103" s="62"/>
      <c r="HA103" s="62"/>
      <c r="HB103" s="62"/>
      <c r="HC103" s="62"/>
      <c r="HD103" s="62"/>
      <c r="HE103" s="62"/>
      <c r="HF103" s="62"/>
      <c r="HG103" s="68" t="s">
        <v>257</v>
      </c>
      <c r="HH103" s="62" t="s">
        <v>258</v>
      </c>
      <c r="HI103" s="62"/>
      <c r="HJ103" s="62">
        <v>12</v>
      </c>
      <c r="HK103" s="62" t="s">
        <v>331</v>
      </c>
      <c r="HL103" s="62" t="s">
        <v>270</v>
      </c>
      <c r="HM103" s="62" t="s">
        <v>331</v>
      </c>
      <c r="HN103" s="62" t="s">
        <v>331</v>
      </c>
      <c r="HO103" s="62" t="s">
        <v>331</v>
      </c>
      <c r="HP103" s="70">
        <v>0.74</v>
      </c>
      <c r="HQ103" s="70">
        <v>0</v>
      </c>
      <c r="HR103" s="70">
        <v>0</v>
      </c>
      <c r="HS103" s="70">
        <v>0</v>
      </c>
      <c r="HT103" s="70">
        <v>0.95</v>
      </c>
      <c r="HU103" s="62" t="s">
        <v>271</v>
      </c>
      <c r="HV103" s="62" t="s">
        <v>263</v>
      </c>
      <c r="HW103" s="62"/>
      <c r="HX103" s="62"/>
    </row>
    <row r="104" spans="2:232" hidden="1" x14ac:dyDescent="0.2">
      <c r="B104" s="60">
        <v>21</v>
      </c>
      <c r="C104" s="60">
        <v>10</v>
      </c>
      <c r="D104" s="61" t="s">
        <v>347</v>
      </c>
      <c r="E104" s="62"/>
      <c r="F104" s="62"/>
      <c r="G104" s="62"/>
      <c r="H104" s="62"/>
      <c r="I104" s="62"/>
      <c r="J104" s="61" t="s">
        <v>348</v>
      </c>
      <c r="K104" s="60" t="s">
        <v>347</v>
      </c>
      <c r="L104" s="62" t="s">
        <v>317</v>
      </c>
      <c r="M104" s="63">
        <v>2895</v>
      </c>
      <c r="N104" s="73" t="s">
        <v>316</v>
      </c>
      <c r="O104" s="73"/>
      <c r="P104" s="73"/>
      <c r="Q104" s="73"/>
      <c r="R104" s="73"/>
      <c r="S104" s="71">
        <v>2404357.02</v>
      </c>
      <c r="T104" s="74" t="s">
        <v>254</v>
      </c>
      <c r="U104" s="74">
        <v>303971.52</v>
      </c>
      <c r="V104" s="74">
        <f>SUM(LIST_LOCATIONDETAILS334[[#This Row],[Building]:[BI]])</f>
        <v>2708328.54</v>
      </c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0" t="s">
        <v>269</v>
      </c>
      <c r="AQ104" s="62"/>
      <c r="AR104" s="62"/>
      <c r="AS104" s="60" t="s">
        <v>282</v>
      </c>
      <c r="AT104" s="60">
        <v>1974</v>
      </c>
      <c r="AU104" s="62"/>
      <c r="AV104" s="63"/>
      <c r="AW104" s="63"/>
      <c r="AX104" s="62"/>
      <c r="AY104" s="62"/>
      <c r="AZ104" s="60">
        <v>2</v>
      </c>
      <c r="BA104" s="60">
        <v>19222</v>
      </c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2"/>
      <c r="CB104" s="62"/>
      <c r="CC104" s="62"/>
      <c r="CD104" s="62"/>
      <c r="CE104" s="62"/>
      <c r="CF104" s="62"/>
      <c r="CG104" s="62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  <c r="EA104" s="62"/>
      <c r="EB104" s="62"/>
      <c r="EC104" s="62"/>
      <c r="ED104" s="62"/>
      <c r="EE104" s="62"/>
      <c r="EF104" s="62"/>
      <c r="EG104" s="62"/>
      <c r="EH104" s="62"/>
      <c r="EI104" s="62"/>
      <c r="EJ104" s="62"/>
      <c r="EK104" s="62"/>
      <c r="EL104" s="62"/>
      <c r="EM104" s="62"/>
      <c r="EN104" s="62"/>
      <c r="EO104" s="62"/>
      <c r="EP104" s="62"/>
      <c r="EQ104" s="62"/>
      <c r="ER104" s="62"/>
      <c r="ES104" s="62"/>
      <c r="ET104" s="62"/>
      <c r="EU104" s="62"/>
      <c r="EV104" s="62"/>
      <c r="EW104" s="62"/>
      <c r="EX104" s="62"/>
      <c r="EY104" s="62"/>
      <c r="EZ104" s="62"/>
      <c r="FA104" s="62"/>
      <c r="FB104" s="62"/>
      <c r="FC104" s="62"/>
      <c r="FD104" s="62"/>
      <c r="FE104" s="62"/>
      <c r="FF104" s="62"/>
      <c r="FG104" s="62"/>
      <c r="FH104" s="62"/>
      <c r="FI104" s="62"/>
      <c r="FJ104" s="67"/>
      <c r="FK104" s="67"/>
      <c r="FL104" s="67"/>
      <c r="FM104" s="67"/>
      <c r="FN104" s="67"/>
      <c r="FO104" s="67"/>
      <c r="FP104" s="67"/>
      <c r="FQ104" s="67"/>
      <c r="FR104" s="62"/>
      <c r="FS104" s="62"/>
      <c r="FT104" s="62"/>
      <c r="FU104" s="62"/>
      <c r="FV104" s="62"/>
      <c r="FW104" s="62"/>
      <c r="FX104" s="62"/>
      <c r="FY104" s="62"/>
      <c r="FZ104" s="62"/>
      <c r="GA104" s="62"/>
      <c r="GB104" s="62"/>
      <c r="GC104" s="62"/>
      <c r="GD104" s="62"/>
      <c r="GE104" s="62"/>
      <c r="GF104" s="63"/>
      <c r="GG104" s="63"/>
      <c r="GH104" s="62"/>
      <c r="GI104" s="62"/>
      <c r="GJ104" s="62"/>
      <c r="GK104" s="62"/>
      <c r="GL104" s="62"/>
      <c r="GM104" s="62"/>
      <c r="GN104" s="62"/>
      <c r="GO104" s="62"/>
      <c r="GP104" s="62"/>
      <c r="GQ104" s="62"/>
      <c r="GR104" s="62"/>
      <c r="GS104" s="62"/>
      <c r="GT104" s="62"/>
      <c r="GU104" s="62"/>
      <c r="GV104" s="62"/>
      <c r="GW104" s="62"/>
      <c r="GX104" s="62"/>
      <c r="GY104" s="62"/>
      <c r="GZ104" s="62"/>
      <c r="HA104" s="62"/>
      <c r="HB104" s="62"/>
      <c r="HC104" s="62"/>
      <c r="HD104" s="62"/>
      <c r="HE104" s="62"/>
      <c r="HF104" s="62"/>
      <c r="HG104" s="68" t="s">
        <v>257</v>
      </c>
      <c r="HH104" s="62" t="s">
        <v>258</v>
      </c>
      <c r="HI104" s="62"/>
      <c r="HJ104" s="62">
        <v>18</v>
      </c>
      <c r="HK104" s="62" t="s">
        <v>331</v>
      </c>
      <c r="HL104" s="62" t="s">
        <v>270</v>
      </c>
      <c r="HM104" s="62" t="s">
        <v>331</v>
      </c>
      <c r="HN104" s="62" t="s">
        <v>331</v>
      </c>
      <c r="HO104" s="62" t="s">
        <v>331</v>
      </c>
      <c r="HP104" s="70">
        <v>0.74</v>
      </c>
      <c r="HQ104" s="70">
        <v>0</v>
      </c>
      <c r="HR104" s="70">
        <v>0</v>
      </c>
      <c r="HS104" s="70">
        <v>0</v>
      </c>
      <c r="HT104" s="70">
        <v>0.95</v>
      </c>
      <c r="HU104" s="62" t="s">
        <v>271</v>
      </c>
      <c r="HV104" s="62" t="s">
        <v>263</v>
      </c>
      <c r="HW104" s="62"/>
      <c r="HX104" s="62"/>
    </row>
    <row r="105" spans="2:232" hidden="1" x14ac:dyDescent="0.2">
      <c r="B105" s="60">
        <v>21</v>
      </c>
      <c r="C105" s="60">
        <v>11</v>
      </c>
      <c r="D105" s="61" t="s">
        <v>347</v>
      </c>
      <c r="E105" s="62"/>
      <c r="F105" s="62"/>
      <c r="G105" s="62"/>
      <c r="H105" s="62"/>
      <c r="I105" s="62"/>
      <c r="J105" s="61" t="s">
        <v>348</v>
      </c>
      <c r="K105" s="60" t="s">
        <v>347</v>
      </c>
      <c r="L105" s="62" t="s">
        <v>317</v>
      </c>
      <c r="M105" s="63">
        <v>2895</v>
      </c>
      <c r="N105" s="73" t="s">
        <v>316</v>
      </c>
      <c r="O105" s="73"/>
      <c r="P105" s="73"/>
      <c r="Q105" s="73"/>
      <c r="R105" s="73"/>
      <c r="S105" s="71">
        <v>2206975.09</v>
      </c>
      <c r="T105" s="74" t="s">
        <v>254</v>
      </c>
      <c r="U105" s="74">
        <v>279017.45</v>
      </c>
      <c r="V105" s="74">
        <f>SUM(LIST_LOCATIONDETAILS334[[#This Row],[Building]:[BI]])</f>
        <v>2485992.54</v>
      </c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0" t="s">
        <v>269</v>
      </c>
      <c r="AQ105" s="62"/>
      <c r="AR105" s="62"/>
      <c r="AS105" s="60" t="s">
        <v>282</v>
      </c>
      <c r="AT105" s="60">
        <v>1974</v>
      </c>
      <c r="AU105" s="62"/>
      <c r="AV105" s="63"/>
      <c r="AW105" s="63"/>
      <c r="AX105" s="62"/>
      <c r="AY105" s="62"/>
      <c r="AZ105" s="60">
        <v>2</v>
      </c>
      <c r="BA105" s="60">
        <v>17644</v>
      </c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2"/>
      <c r="CB105" s="62"/>
      <c r="CC105" s="62"/>
      <c r="CD105" s="62"/>
      <c r="CE105" s="62"/>
      <c r="CF105" s="62"/>
      <c r="CG105" s="62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  <c r="EA105" s="62"/>
      <c r="EB105" s="62"/>
      <c r="EC105" s="62"/>
      <c r="ED105" s="62"/>
      <c r="EE105" s="62"/>
      <c r="EF105" s="62"/>
      <c r="EG105" s="62"/>
      <c r="EH105" s="62"/>
      <c r="EI105" s="62"/>
      <c r="EJ105" s="62"/>
      <c r="EK105" s="62"/>
      <c r="EL105" s="62"/>
      <c r="EM105" s="62"/>
      <c r="EN105" s="62"/>
      <c r="EO105" s="62"/>
      <c r="EP105" s="62"/>
      <c r="EQ105" s="62"/>
      <c r="ER105" s="62"/>
      <c r="ES105" s="62"/>
      <c r="ET105" s="62"/>
      <c r="EU105" s="62"/>
      <c r="EV105" s="62"/>
      <c r="EW105" s="62"/>
      <c r="EX105" s="62"/>
      <c r="EY105" s="62"/>
      <c r="EZ105" s="62"/>
      <c r="FA105" s="62"/>
      <c r="FB105" s="62"/>
      <c r="FC105" s="62"/>
      <c r="FD105" s="62"/>
      <c r="FE105" s="62"/>
      <c r="FF105" s="62"/>
      <c r="FG105" s="62"/>
      <c r="FH105" s="62"/>
      <c r="FI105" s="62"/>
      <c r="FJ105" s="67"/>
      <c r="FK105" s="67"/>
      <c r="FL105" s="67"/>
      <c r="FM105" s="67"/>
      <c r="FN105" s="67"/>
      <c r="FO105" s="67"/>
      <c r="FP105" s="67"/>
      <c r="FQ105" s="67"/>
      <c r="FR105" s="62"/>
      <c r="FS105" s="62"/>
      <c r="FT105" s="62"/>
      <c r="FU105" s="62"/>
      <c r="FV105" s="62"/>
      <c r="FW105" s="62"/>
      <c r="FX105" s="62"/>
      <c r="FY105" s="62"/>
      <c r="FZ105" s="62"/>
      <c r="GA105" s="62"/>
      <c r="GB105" s="62"/>
      <c r="GC105" s="62"/>
      <c r="GD105" s="62"/>
      <c r="GE105" s="62"/>
      <c r="GF105" s="63"/>
      <c r="GG105" s="63"/>
      <c r="GH105" s="62"/>
      <c r="GI105" s="62"/>
      <c r="GJ105" s="62"/>
      <c r="GK105" s="62"/>
      <c r="GL105" s="62"/>
      <c r="GM105" s="62"/>
      <c r="GN105" s="62"/>
      <c r="GO105" s="62"/>
      <c r="GP105" s="62"/>
      <c r="GQ105" s="62"/>
      <c r="GR105" s="62"/>
      <c r="GS105" s="62"/>
      <c r="GT105" s="62"/>
      <c r="GU105" s="62"/>
      <c r="GV105" s="62"/>
      <c r="GW105" s="62"/>
      <c r="GX105" s="62"/>
      <c r="GY105" s="62"/>
      <c r="GZ105" s="62"/>
      <c r="HA105" s="62"/>
      <c r="HB105" s="62"/>
      <c r="HC105" s="62"/>
      <c r="HD105" s="62"/>
      <c r="HE105" s="62"/>
      <c r="HF105" s="62"/>
      <c r="HG105" s="68" t="s">
        <v>257</v>
      </c>
      <c r="HH105" s="62" t="s">
        <v>258</v>
      </c>
      <c r="HI105" s="62"/>
      <c r="HJ105" s="62">
        <v>16</v>
      </c>
      <c r="HK105" s="62" t="s">
        <v>331</v>
      </c>
      <c r="HL105" s="62" t="s">
        <v>270</v>
      </c>
      <c r="HM105" s="62" t="s">
        <v>331</v>
      </c>
      <c r="HN105" s="62" t="s">
        <v>331</v>
      </c>
      <c r="HO105" s="62" t="s">
        <v>331</v>
      </c>
      <c r="HP105" s="70">
        <v>0.74</v>
      </c>
      <c r="HQ105" s="70">
        <v>0</v>
      </c>
      <c r="HR105" s="70">
        <v>0</v>
      </c>
      <c r="HS105" s="70">
        <v>0</v>
      </c>
      <c r="HT105" s="70">
        <v>0.95</v>
      </c>
      <c r="HU105" s="62" t="s">
        <v>271</v>
      </c>
      <c r="HV105" s="62" t="s">
        <v>263</v>
      </c>
      <c r="HW105" s="62"/>
      <c r="HX105" s="62"/>
    </row>
    <row r="106" spans="2:232" hidden="1" x14ac:dyDescent="0.2">
      <c r="B106" s="60">
        <v>21</v>
      </c>
      <c r="C106" s="60">
        <v>12</v>
      </c>
      <c r="D106" s="61" t="s">
        <v>347</v>
      </c>
      <c r="E106" s="62"/>
      <c r="F106" s="62"/>
      <c r="G106" s="62"/>
      <c r="H106" s="62"/>
      <c r="I106" s="62"/>
      <c r="J106" s="61" t="s">
        <v>348</v>
      </c>
      <c r="K106" s="60" t="s">
        <v>347</v>
      </c>
      <c r="L106" s="62" t="s">
        <v>317</v>
      </c>
      <c r="M106" s="63">
        <v>2895</v>
      </c>
      <c r="N106" s="73" t="s">
        <v>316</v>
      </c>
      <c r="O106" s="73"/>
      <c r="P106" s="73"/>
      <c r="Q106" s="73"/>
      <c r="R106" s="73"/>
      <c r="S106" s="71">
        <v>2264013.2200000002</v>
      </c>
      <c r="T106" s="74" t="s">
        <v>254</v>
      </c>
      <c r="U106" s="74">
        <v>286228.51</v>
      </c>
      <c r="V106" s="74">
        <f>SUM(LIST_LOCATIONDETAILS334[[#This Row],[Building]:[BI]])</f>
        <v>2550241.7300000004</v>
      </c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0" t="s">
        <v>269</v>
      </c>
      <c r="AQ106" s="62"/>
      <c r="AR106" s="62"/>
      <c r="AS106" s="60" t="s">
        <v>282</v>
      </c>
      <c r="AT106" s="60">
        <v>1974</v>
      </c>
      <c r="AU106" s="62"/>
      <c r="AV106" s="63"/>
      <c r="AW106" s="63"/>
      <c r="AX106" s="62"/>
      <c r="AY106" s="62"/>
      <c r="AZ106" s="60">
        <v>2</v>
      </c>
      <c r="BA106" s="60">
        <v>18100</v>
      </c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2"/>
      <c r="CB106" s="62"/>
      <c r="CC106" s="62"/>
      <c r="CD106" s="62"/>
      <c r="CE106" s="62"/>
      <c r="CF106" s="62"/>
      <c r="CG106" s="62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  <c r="EA106" s="62"/>
      <c r="EB106" s="62"/>
      <c r="EC106" s="62"/>
      <c r="ED106" s="62"/>
      <c r="EE106" s="62"/>
      <c r="EF106" s="62"/>
      <c r="EG106" s="62"/>
      <c r="EH106" s="62"/>
      <c r="EI106" s="62"/>
      <c r="EJ106" s="62"/>
      <c r="EK106" s="62"/>
      <c r="EL106" s="62"/>
      <c r="EM106" s="62"/>
      <c r="EN106" s="62"/>
      <c r="EO106" s="62"/>
      <c r="EP106" s="62"/>
      <c r="EQ106" s="62"/>
      <c r="ER106" s="62"/>
      <c r="ES106" s="62"/>
      <c r="ET106" s="62"/>
      <c r="EU106" s="62"/>
      <c r="EV106" s="62"/>
      <c r="EW106" s="62"/>
      <c r="EX106" s="62"/>
      <c r="EY106" s="62"/>
      <c r="EZ106" s="62"/>
      <c r="FA106" s="62"/>
      <c r="FB106" s="62"/>
      <c r="FC106" s="62"/>
      <c r="FD106" s="62"/>
      <c r="FE106" s="62"/>
      <c r="FF106" s="62"/>
      <c r="FG106" s="62"/>
      <c r="FH106" s="62"/>
      <c r="FI106" s="62"/>
      <c r="FJ106" s="67"/>
      <c r="FK106" s="67"/>
      <c r="FL106" s="67"/>
      <c r="FM106" s="67"/>
      <c r="FN106" s="67"/>
      <c r="FO106" s="67"/>
      <c r="FP106" s="67"/>
      <c r="FQ106" s="67"/>
      <c r="FR106" s="62"/>
      <c r="FS106" s="62"/>
      <c r="FT106" s="62"/>
      <c r="FU106" s="62"/>
      <c r="FV106" s="62"/>
      <c r="FW106" s="62"/>
      <c r="FX106" s="62"/>
      <c r="FY106" s="62"/>
      <c r="FZ106" s="62"/>
      <c r="GA106" s="62"/>
      <c r="GB106" s="62"/>
      <c r="GC106" s="62"/>
      <c r="GD106" s="62"/>
      <c r="GE106" s="62"/>
      <c r="GF106" s="63"/>
      <c r="GG106" s="63"/>
      <c r="GH106" s="62"/>
      <c r="GI106" s="62"/>
      <c r="GJ106" s="62"/>
      <c r="GK106" s="62"/>
      <c r="GL106" s="62"/>
      <c r="GM106" s="62"/>
      <c r="GN106" s="62"/>
      <c r="GO106" s="62"/>
      <c r="GP106" s="62"/>
      <c r="GQ106" s="62"/>
      <c r="GR106" s="62"/>
      <c r="GS106" s="62"/>
      <c r="GT106" s="62"/>
      <c r="GU106" s="62"/>
      <c r="GV106" s="62"/>
      <c r="GW106" s="62"/>
      <c r="GX106" s="62"/>
      <c r="GY106" s="62"/>
      <c r="GZ106" s="62"/>
      <c r="HA106" s="62"/>
      <c r="HB106" s="62"/>
      <c r="HC106" s="62"/>
      <c r="HD106" s="62"/>
      <c r="HE106" s="62"/>
      <c r="HF106" s="62"/>
      <c r="HG106" s="68" t="s">
        <v>257</v>
      </c>
      <c r="HH106" s="62" t="s">
        <v>258</v>
      </c>
      <c r="HI106" s="62"/>
      <c r="HJ106" s="62">
        <v>18</v>
      </c>
      <c r="HK106" s="62" t="s">
        <v>331</v>
      </c>
      <c r="HL106" s="62" t="s">
        <v>270</v>
      </c>
      <c r="HM106" s="62" t="s">
        <v>331</v>
      </c>
      <c r="HN106" s="62" t="s">
        <v>331</v>
      </c>
      <c r="HO106" s="62" t="s">
        <v>331</v>
      </c>
      <c r="HP106" s="70">
        <v>0.74</v>
      </c>
      <c r="HQ106" s="70">
        <v>0</v>
      </c>
      <c r="HR106" s="70">
        <v>0</v>
      </c>
      <c r="HS106" s="70">
        <v>0</v>
      </c>
      <c r="HT106" s="70">
        <v>0.95</v>
      </c>
      <c r="HU106" s="62" t="s">
        <v>271</v>
      </c>
      <c r="HV106" s="62" t="s">
        <v>263</v>
      </c>
      <c r="HW106" s="62"/>
      <c r="HX106" s="62"/>
    </row>
    <row r="107" spans="2:232" hidden="1" x14ac:dyDescent="0.2">
      <c r="B107" s="60">
        <v>21</v>
      </c>
      <c r="C107" s="60">
        <v>13</v>
      </c>
      <c r="D107" s="61" t="s">
        <v>347</v>
      </c>
      <c r="E107" s="62"/>
      <c r="F107" s="62"/>
      <c r="G107" s="62"/>
      <c r="H107" s="62"/>
      <c r="I107" s="62"/>
      <c r="J107" s="61" t="s">
        <v>348</v>
      </c>
      <c r="K107" s="60" t="s">
        <v>347</v>
      </c>
      <c r="L107" s="62" t="s">
        <v>317</v>
      </c>
      <c r="M107" s="63">
        <v>2895</v>
      </c>
      <c r="N107" s="73" t="s">
        <v>316</v>
      </c>
      <c r="O107" s="73"/>
      <c r="P107" s="73"/>
      <c r="Q107" s="73"/>
      <c r="R107" s="73"/>
      <c r="S107" s="71">
        <v>712976.54</v>
      </c>
      <c r="T107" s="74" t="s">
        <v>254</v>
      </c>
      <c r="U107" s="74">
        <v>90138.26</v>
      </c>
      <c r="V107" s="74">
        <f>SUM(LIST_LOCATIONDETAILS334[[#This Row],[Building]:[BI]])</f>
        <v>803114.8</v>
      </c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0" t="s">
        <v>269</v>
      </c>
      <c r="AQ107" s="62"/>
      <c r="AR107" s="62"/>
      <c r="AS107" s="60" t="s">
        <v>282</v>
      </c>
      <c r="AT107" s="60">
        <v>1974</v>
      </c>
      <c r="AU107" s="62"/>
      <c r="AV107" s="63"/>
      <c r="AW107" s="63"/>
      <c r="AX107" s="62"/>
      <c r="AY107" s="62"/>
      <c r="AZ107" s="60">
        <v>2</v>
      </c>
      <c r="BA107" s="60">
        <v>5700</v>
      </c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2"/>
      <c r="CB107" s="62"/>
      <c r="CC107" s="62"/>
      <c r="CD107" s="62"/>
      <c r="CE107" s="62"/>
      <c r="CF107" s="62"/>
      <c r="CG107" s="62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  <c r="EA107" s="62"/>
      <c r="EB107" s="62"/>
      <c r="EC107" s="62"/>
      <c r="ED107" s="62"/>
      <c r="EE107" s="62"/>
      <c r="EF107" s="62"/>
      <c r="EG107" s="62"/>
      <c r="EH107" s="62"/>
      <c r="EI107" s="62"/>
      <c r="EJ107" s="62"/>
      <c r="EK107" s="62"/>
      <c r="EL107" s="62"/>
      <c r="EM107" s="62"/>
      <c r="EN107" s="62"/>
      <c r="EO107" s="62"/>
      <c r="EP107" s="62"/>
      <c r="EQ107" s="62"/>
      <c r="ER107" s="62"/>
      <c r="ES107" s="62"/>
      <c r="ET107" s="62"/>
      <c r="EU107" s="62"/>
      <c r="EV107" s="62"/>
      <c r="EW107" s="62"/>
      <c r="EX107" s="62"/>
      <c r="EY107" s="62"/>
      <c r="EZ107" s="62"/>
      <c r="FA107" s="62"/>
      <c r="FB107" s="62"/>
      <c r="FC107" s="62"/>
      <c r="FD107" s="62"/>
      <c r="FE107" s="62"/>
      <c r="FF107" s="62"/>
      <c r="FG107" s="62"/>
      <c r="FH107" s="62"/>
      <c r="FI107" s="62"/>
      <c r="FJ107" s="67"/>
      <c r="FK107" s="67"/>
      <c r="FL107" s="67"/>
      <c r="FM107" s="67"/>
      <c r="FN107" s="67"/>
      <c r="FO107" s="67"/>
      <c r="FP107" s="67"/>
      <c r="FQ107" s="67"/>
      <c r="FR107" s="62"/>
      <c r="FS107" s="62"/>
      <c r="FT107" s="62"/>
      <c r="FU107" s="62"/>
      <c r="FV107" s="62"/>
      <c r="FW107" s="62"/>
      <c r="FX107" s="62"/>
      <c r="FY107" s="62"/>
      <c r="FZ107" s="62"/>
      <c r="GA107" s="62"/>
      <c r="GB107" s="62"/>
      <c r="GC107" s="62"/>
      <c r="GD107" s="62"/>
      <c r="GE107" s="62"/>
      <c r="GF107" s="63"/>
      <c r="GG107" s="63"/>
      <c r="GH107" s="62"/>
      <c r="GI107" s="62"/>
      <c r="GJ107" s="62"/>
      <c r="GK107" s="62"/>
      <c r="GL107" s="62"/>
      <c r="GM107" s="62"/>
      <c r="GN107" s="62"/>
      <c r="GO107" s="62"/>
      <c r="GP107" s="62"/>
      <c r="GQ107" s="62"/>
      <c r="GR107" s="62"/>
      <c r="GS107" s="62"/>
      <c r="GT107" s="62"/>
      <c r="GU107" s="62"/>
      <c r="GV107" s="62"/>
      <c r="GW107" s="62"/>
      <c r="GX107" s="62"/>
      <c r="GY107" s="62"/>
      <c r="GZ107" s="62"/>
      <c r="HA107" s="62"/>
      <c r="HB107" s="62"/>
      <c r="HC107" s="62"/>
      <c r="HD107" s="62"/>
      <c r="HE107" s="62"/>
      <c r="HF107" s="62"/>
      <c r="HG107" s="68" t="s">
        <v>257</v>
      </c>
      <c r="HH107" s="62" t="s">
        <v>258</v>
      </c>
      <c r="HI107" s="62"/>
      <c r="HJ107" s="62">
        <v>6</v>
      </c>
      <c r="HK107" s="62" t="s">
        <v>331</v>
      </c>
      <c r="HL107" s="62" t="s">
        <v>270</v>
      </c>
      <c r="HM107" s="62" t="s">
        <v>331</v>
      </c>
      <c r="HN107" s="62" t="s">
        <v>331</v>
      </c>
      <c r="HO107" s="62" t="s">
        <v>331</v>
      </c>
      <c r="HP107" s="70">
        <v>0.74</v>
      </c>
      <c r="HQ107" s="70">
        <v>0</v>
      </c>
      <c r="HR107" s="70">
        <v>0</v>
      </c>
      <c r="HS107" s="70">
        <v>0</v>
      </c>
      <c r="HT107" s="70">
        <v>0.95</v>
      </c>
      <c r="HU107" s="62" t="s">
        <v>271</v>
      </c>
      <c r="HV107" s="62" t="s">
        <v>263</v>
      </c>
      <c r="HW107" s="62"/>
      <c r="HX107" s="62"/>
    </row>
    <row r="108" spans="2:232" hidden="1" x14ac:dyDescent="0.2">
      <c r="B108" s="60">
        <v>21</v>
      </c>
      <c r="C108" s="60">
        <v>14</v>
      </c>
      <c r="D108" s="61" t="s">
        <v>347</v>
      </c>
      <c r="E108" s="62"/>
      <c r="F108" s="62"/>
      <c r="G108" s="62"/>
      <c r="H108" s="62"/>
      <c r="I108" s="62"/>
      <c r="J108" s="61" t="s">
        <v>348</v>
      </c>
      <c r="K108" s="60" t="s">
        <v>347</v>
      </c>
      <c r="L108" s="62" t="s">
        <v>317</v>
      </c>
      <c r="M108" s="63">
        <v>2895</v>
      </c>
      <c r="N108" s="73" t="s">
        <v>316</v>
      </c>
      <c r="O108" s="73"/>
      <c r="P108" s="73"/>
      <c r="Q108" s="73"/>
      <c r="R108" s="73"/>
      <c r="S108" s="71">
        <v>1299868.8</v>
      </c>
      <c r="T108" s="74" t="s">
        <v>254</v>
      </c>
      <c r="U108" s="74">
        <v>164336.28</v>
      </c>
      <c r="V108" s="74">
        <f>SUM(LIST_LOCATIONDETAILS334[[#This Row],[Building]:[BI]])</f>
        <v>1464205.08</v>
      </c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0" t="s">
        <v>269</v>
      </c>
      <c r="AQ108" s="62"/>
      <c r="AR108" s="62"/>
      <c r="AS108" s="60" t="s">
        <v>282</v>
      </c>
      <c r="AT108" s="60">
        <v>1974</v>
      </c>
      <c r="AU108" s="62"/>
      <c r="AV108" s="63"/>
      <c r="AW108" s="63"/>
      <c r="AX108" s="62"/>
      <c r="AY108" s="62"/>
      <c r="AZ108" s="60">
        <v>2</v>
      </c>
      <c r="BA108" s="60">
        <v>10392</v>
      </c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2"/>
      <c r="CB108" s="62"/>
      <c r="CC108" s="62"/>
      <c r="CD108" s="62"/>
      <c r="CE108" s="62"/>
      <c r="CF108" s="62"/>
      <c r="CG108" s="62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  <c r="EA108" s="62"/>
      <c r="EB108" s="62"/>
      <c r="EC108" s="62"/>
      <c r="ED108" s="62"/>
      <c r="EE108" s="62"/>
      <c r="EF108" s="62"/>
      <c r="EG108" s="62"/>
      <c r="EH108" s="62"/>
      <c r="EI108" s="62"/>
      <c r="EJ108" s="62"/>
      <c r="EK108" s="62"/>
      <c r="EL108" s="62"/>
      <c r="EM108" s="62"/>
      <c r="EN108" s="62"/>
      <c r="EO108" s="62"/>
      <c r="EP108" s="62"/>
      <c r="EQ108" s="62"/>
      <c r="ER108" s="62"/>
      <c r="ES108" s="62"/>
      <c r="ET108" s="62"/>
      <c r="EU108" s="62"/>
      <c r="EV108" s="62"/>
      <c r="EW108" s="62"/>
      <c r="EX108" s="62"/>
      <c r="EY108" s="62"/>
      <c r="EZ108" s="62"/>
      <c r="FA108" s="62"/>
      <c r="FB108" s="62"/>
      <c r="FC108" s="62"/>
      <c r="FD108" s="62"/>
      <c r="FE108" s="62"/>
      <c r="FF108" s="62"/>
      <c r="FG108" s="62"/>
      <c r="FH108" s="62"/>
      <c r="FI108" s="62"/>
      <c r="FJ108" s="67"/>
      <c r="FK108" s="67"/>
      <c r="FL108" s="67"/>
      <c r="FM108" s="67"/>
      <c r="FN108" s="67"/>
      <c r="FO108" s="67"/>
      <c r="FP108" s="67"/>
      <c r="FQ108" s="67"/>
      <c r="FR108" s="62"/>
      <c r="FS108" s="62"/>
      <c r="FT108" s="62"/>
      <c r="FU108" s="62"/>
      <c r="FV108" s="62"/>
      <c r="FW108" s="62"/>
      <c r="FX108" s="62"/>
      <c r="FY108" s="62"/>
      <c r="FZ108" s="62"/>
      <c r="GA108" s="62"/>
      <c r="GB108" s="62"/>
      <c r="GC108" s="62"/>
      <c r="GD108" s="62"/>
      <c r="GE108" s="62"/>
      <c r="GF108" s="63"/>
      <c r="GG108" s="63"/>
      <c r="GH108" s="62"/>
      <c r="GI108" s="62"/>
      <c r="GJ108" s="62"/>
      <c r="GK108" s="62"/>
      <c r="GL108" s="62"/>
      <c r="GM108" s="62"/>
      <c r="GN108" s="62"/>
      <c r="GO108" s="62"/>
      <c r="GP108" s="62"/>
      <c r="GQ108" s="62"/>
      <c r="GR108" s="62"/>
      <c r="GS108" s="62"/>
      <c r="GT108" s="62"/>
      <c r="GU108" s="62"/>
      <c r="GV108" s="62"/>
      <c r="GW108" s="62"/>
      <c r="GX108" s="62"/>
      <c r="GY108" s="62"/>
      <c r="GZ108" s="62"/>
      <c r="HA108" s="62"/>
      <c r="HB108" s="62"/>
      <c r="HC108" s="62"/>
      <c r="HD108" s="62"/>
      <c r="HE108" s="62"/>
      <c r="HF108" s="62"/>
      <c r="HG108" s="68" t="s">
        <v>257</v>
      </c>
      <c r="HH108" s="62" t="s">
        <v>258</v>
      </c>
      <c r="HI108" s="62"/>
      <c r="HJ108" s="62">
        <v>8</v>
      </c>
      <c r="HK108" s="62" t="s">
        <v>331</v>
      </c>
      <c r="HL108" s="62" t="s">
        <v>270</v>
      </c>
      <c r="HM108" s="62" t="s">
        <v>331</v>
      </c>
      <c r="HN108" s="62" t="s">
        <v>331</v>
      </c>
      <c r="HO108" s="62" t="s">
        <v>331</v>
      </c>
      <c r="HP108" s="70">
        <v>0.74</v>
      </c>
      <c r="HQ108" s="70">
        <v>0</v>
      </c>
      <c r="HR108" s="70">
        <v>0</v>
      </c>
      <c r="HS108" s="70">
        <v>0</v>
      </c>
      <c r="HT108" s="70">
        <v>0.95</v>
      </c>
      <c r="HU108" s="62" t="s">
        <v>271</v>
      </c>
      <c r="HV108" s="62" t="s">
        <v>263</v>
      </c>
      <c r="HW108" s="62"/>
      <c r="HX108" s="62"/>
    </row>
    <row r="109" spans="2:232" hidden="1" x14ac:dyDescent="0.2">
      <c r="B109" s="60">
        <v>21</v>
      </c>
      <c r="C109" s="60">
        <v>15</v>
      </c>
      <c r="D109" s="61" t="s">
        <v>347</v>
      </c>
      <c r="E109" s="62"/>
      <c r="F109" s="62"/>
      <c r="G109" s="62"/>
      <c r="H109" s="62"/>
      <c r="I109" s="62"/>
      <c r="J109" s="61" t="s">
        <v>348</v>
      </c>
      <c r="K109" s="60" t="s">
        <v>347</v>
      </c>
      <c r="L109" s="62" t="s">
        <v>317</v>
      </c>
      <c r="M109" s="63">
        <v>2895</v>
      </c>
      <c r="N109" s="73" t="s">
        <v>316</v>
      </c>
      <c r="O109" s="73"/>
      <c r="P109" s="73"/>
      <c r="Q109" s="73"/>
      <c r="R109" s="73"/>
      <c r="S109" s="71">
        <v>1039194.57</v>
      </c>
      <c r="T109" s="74" t="s">
        <v>254</v>
      </c>
      <c r="U109" s="74">
        <v>131380.47</v>
      </c>
      <c r="V109" s="74">
        <f>SUM(LIST_LOCATIONDETAILS334[[#This Row],[Building]:[BI]])</f>
        <v>1170575.04</v>
      </c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0" t="s">
        <v>269</v>
      </c>
      <c r="AQ109" s="62"/>
      <c r="AR109" s="62"/>
      <c r="AS109" s="60" t="s">
        <v>282</v>
      </c>
      <c r="AT109" s="60">
        <v>1974</v>
      </c>
      <c r="AU109" s="62"/>
      <c r="AV109" s="63"/>
      <c r="AW109" s="63"/>
      <c r="AX109" s="62"/>
      <c r="AY109" s="62"/>
      <c r="AZ109" s="60">
        <v>2</v>
      </c>
      <c r="BA109" s="60">
        <v>8308</v>
      </c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2"/>
      <c r="CB109" s="62"/>
      <c r="CC109" s="62"/>
      <c r="CD109" s="62"/>
      <c r="CE109" s="62"/>
      <c r="CF109" s="62"/>
      <c r="CG109" s="62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  <c r="EA109" s="62"/>
      <c r="EB109" s="62"/>
      <c r="EC109" s="62"/>
      <c r="ED109" s="62"/>
      <c r="EE109" s="62"/>
      <c r="EF109" s="62"/>
      <c r="EG109" s="62"/>
      <c r="EH109" s="62"/>
      <c r="EI109" s="62"/>
      <c r="EJ109" s="62"/>
      <c r="EK109" s="62"/>
      <c r="EL109" s="62"/>
      <c r="EM109" s="62"/>
      <c r="EN109" s="62"/>
      <c r="EO109" s="62"/>
      <c r="EP109" s="62"/>
      <c r="EQ109" s="62"/>
      <c r="ER109" s="62"/>
      <c r="ES109" s="62"/>
      <c r="ET109" s="62"/>
      <c r="EU109" s="62"/>
      <c r="EV109" s="62"/>
      <c r="EW109" s="62"/>
      <c r="EX109" s="62"/>
      <c r="EY109" s="62"/>
      <c r="EZ109" s="62"/>
      <c r="FA109" s="62"/>
      <c r="FB109" s="62"/>
      <c r="FC109" s="62"/>
      <c r="FD109" s="62"/>
      <c r="FE109" s="62"/>
      <c r="FF109" s="62"/>
      <c r="FG109" s="62"/>
      <c r="FH109" s="62"/>
      <c r="FI109" s="62"/>
      <c r="FJ109" s="67"/>
      <c r="FK109" s="67"/>
      <c r="FL109" s="67"/>
      <c r="FM109" s="67"/>
      <c r="FN109" s="67"/>
      <c r="FO109" s="67"/>
      <c r="FP109" s="67"/>
      <c r="FQ109" s="67"/>
      <c r="FR109" s="62"/>
      <c r="FS109" s="62"/>
      <c r="FT109" s="62"/>
      <c r="FU109" s="62"/>
      <c r="FV109" s="62"/>
      <c r="FW109" s="62"/>
      <c r="FX109" s="62"/>
      <c r="FY109" s="62"/>
      <c r="FZ109" s="62"/>
      <c r="GA109" s="62"/>
      <c r="GB109" s="62"/>
      <c r="GC109" s="62"/>
      <c r="GD109" s="62"/>
      <c r="GE109" s="62"/>
      <c r="GF109" s="63"/>
      <c r="GG109" s="63"/>
      <c r="GH109" s="62"/>
      <c r="GI109" s="62"/>
      <c r="GJ109" s="62"/>
      <c r="GK109" s="62"/>
      <c r="GL109" s="62"/>
      <c r="GM109" s="62"/>
      <c r="GN109" s="62"/>
      <c r="GO109" s="62"/>
      <c r="GP109" s="62"/>
      <c r="GQ109" s="62"/>
      <c r="GR109" s="62"/>
      <c r="GS109" s="62"/>
      <c r="GT109" s="62"/>
      <c r="GU109" s="62"/>
      <c r="GV109" s="62"/>
      <c r="GW109" s="62"/>
      <c r="GX109" s="62"/>
      <c r="GY109" s="62"/>
      <c r="GZ109" s="62"/>
      <c r="HA109" s="62"/>
      <c r="HB109" s="62"/>
      <c r="HC109" s="62"/>
      <c r="HD109" s="62"/>
      <c r="HE109" s="62"/>
      <c r="HF109" s="62"/>
      <c r="HG109" s="68" t="s">
        <v>257</v>
      </c>
      <c r="HH109" s="62" t="s">
        <v>258</v>
      </c>
      <c r="HI109" s="62"/>
      <c r="HJ109" s="62">
        <v>8</v>
      </c>
      <c r="HK109" s="62" t="s">
        <v>331</v>
      </c>
      <c r="HL109" s="62" t="s">
        <v>270</v>
      </c>
      <c r="HM109" s="62" t="s">
        <v>331</v>
      </c>
      <c r="HN109" s="62" t="s">
        <v>331</v>
      </c>
      <c r="HO109" s="62" t="s">
        <v>331</v>
      </c>
      <c r="HP109" s="70">
        <v>0.74</v>
      </c>
      <c r="HQ109" s="70">
        <v>0</v>
      </c>
      <c r="HR109" s="70">
        <v>0</v>
      </c>
      <c r="HS109" s="70">
        <v>0</v>
      </c>
      <c r="HT109" s="70">
        <v>0.95</v>
      </c>
      <c r="HU109" s="62" t="s">
        <v>271</v>
      </c>
      <c r="HV109" s="62" t="s">
        <v>263</v>
      </c>
      <c r="HW109" s="62"/>
      <c r="HX109" s="62"/>
    </row>
    <row r="110" spans="2:232" hidden="1" x14ac:dyDescent="0.2">
      <c r="B110" s="60">
        <v>22</v>
      </c>
      <c r="C110" s="60">
        <v>1</v>
      </c>
      <c r="D110" s="61" t="s">
        <v>349</v>
      </c>
      <c r="E110" s="62"/>
      <c r="F110" s="62"/>
      <c r="G110" s="62"/>
      <c r="H110" s="62"/>
      <c r="I110" s="62"/>
      <c r="J110" s="61" t="s">
        <v>350</v>
      </c>
      <c r="K110" s="60" t="s">
        <v>351</v>
      </c>
      <c r="L110" s="62" t="s">
        <v>352</v>
      </c>
      <c r="M110" s="63">
        <v>77587</v>
      </c>
      <c r="N110" s="73" t="s">
        <v>353</v>
      </c>
      <c r="O110" s="73"/>
      <c r="P110" s="73"/>
      <c r="Q110" s="73"/>
      <c r="R110" s="73"/>
      <c r="S110" s="71">
        <v>1279260.21</v>
      </c>
      <c r="T110" s="74" t="s">
        <v>254</v>
      </c>
      <c r="U110" s="74">
        <v>163010.89000000001</v>
      </c>
      <c r="V110" s="74">
        <f>SUM(LIST_LOCATIONDETAILS334[[#This Row],[Building]:[BI]])</f>
        <v>1442271.1</v>
      </c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0" t="s">
        <v>269</v>
      </c>
      <c r="AQ110" s="62"/>
      <c r="AR110" s="62"/>
      <c r="AS110" s="60" t="s">
        <v>282</v>
      </c>
      <c r="AT110" s="60">
        <v>1962</v>
      </c>
      <c r="AU110" s="62"/>
      <c r="AV110" s="63"/>
      <c r="AW110" s="63"/>
      <c r="AX110" s="62"/>
      <c r="AY110" s="62"/>
      <c r="AZ110" s="60">
        <v>2</v>
      </c>
      <c r="BA110" s="60">
        <v>8664</v>
      </c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2"/>
      <c r="CB110" s="62"/>
      <c r="CC110" s="62"/>
      <c r="CD110" s="62"/>
      <c r="CE110" s="62"/>
      <c r="CF110" s="62"/>
      <c r="CG110" s="62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  <c r="EA110" s="62"/>
      <c r="EB110" s="62"/>
      <c r="EC110" s="62"/>
      <c r="ED110" s="62"/>
      <c r="EE110" s="62"/>
      <c r="EF110" s="62"/>
      <c r="EG110" s="62"/>
      <c r="EH110" s="62"/>
      <c r="EI110" s="62"/>
      <c r="EJ110" s="62"/>
      <c r="EK110" s="62"/>
      <c r="EL110" s="62"/>
      <c r="EM110" s="62"/>
      <c r="EN110" s="62"/>
      <c r="EO110" s="62"/>
      <c r="EP110" s="62"/>
      <c r="EQ110" s="62"/>
      <c r="ER110" s="62"/>
      <c r="ES110" s="62"/>
      <c r="ET110" s="62"/>
      <c r="EU110" s="62"/>
      <c r="EV110" s="62"/>
      <c r="EW110" s="62"/>
      <c r="EX110" s="62"/>
      <c r="EY110" s="62"/>
      <c r="EZ110" s="62"/>
      <c r="FA110" s="62"/>
      <c r="FB110" s="62"/>
      <c r="FC110" s="62"/>
      <c r="FD110" s="62"/>
      <c r="FE110" s="62"/>
      <c r="FF110" s="62"/>
      <c r="FG110" s="62"/>
      <c r="FH110" s="62"/>
      <c r="FI110" s="62"/>
      <c r="FJ110" s="67"/>
      <c r="FK110" s="67"/>
      <c r="FL110" s="67"/>
      <c r="FM110" s="67"/>
      <c r="FN110" s="67"/>
      <c r="FO110" s="67"/>
      <c r="FP110" s="67"/>
      <c r="FQ110" s="67"/>
      <c r="FR110" s="62"/>
      <c r="FS110" s="62"/>
      <c r="FT110" s="62"/>
      <c r="FU110" s="62"/>
      <c r="FV110" s="62"/>
      <c r="FW110" s="62"/>
      <c r="FX110" s="62"/>
      <c r="FY110" s="62"/>
      <c r="FZ110" s="62"/>
      <c r="GA110" s="62"/>
      <c r="GB110" s="62"/>
      <c r="GC110" s="62"/>
      <c r="GD110" s="62"/>
      <c r="GE110" s="62"/>
      <c r="GF110" s="63"/>
      <c r="GG110" s="63"/>
      <c r="GH110" s="62"/>
      <c r="GI110" s="62"/>
      <c r="GJ110" s="62"/>
      <c r="GK110" s="62"/>
      <c r="GL110" s="62"/>
      <c r="GM110" s="62"/>
      <c r="GN110" s="62"/>
      <c r="GO110" s="62"/>
      <c r="GP110" s="62"/>
      <c r="GQ110" s="62"/>
      <c r="GR110" s="62"/>
      <c r="GS110" s="62"/>
      <c r="GT110" s="62"/>
      <c r="GU110" s="62"/>
      <c r="GV110" s="62"/>
      <c r="GW110" s="62"/>
      <c r="GX110" s="62"/>
      <c r="GY110" s="62"/>
      <c r="GZ110" s="62"/>
      <c r="HA110" s="62"/>
      <c r="HB110" s="62"/>
      <c r="HC110" s="62"/>
      <c r="HD110" s="62"/>
      <c r="HE110" s="62"/>
      <c r="HF110" s="62"/>
      <c r="HG110" s="68" t="s">
        <v>257</v>
      </c>
      <c r="HH110" s="62" t="s">
        <v>336</v>
      </c>
      <c r="HI110" s="62"/>
      <c r="HJ110" s="62">
        <v>11</v>
      </c>
      <c r="HK110" s="62">
        <v>2023</v>
      </c>
      <c r="HL110" s="62" t="s">
        <v>301</v>
      </c>
      <c r="HM110" s="62">
        <v>2023</v>
      </c>
      <c r="HN110" s="62">
        <v>2023</v>
      </c>
      <c r="HO110" s="62">
        <v>2023</v>
      </c>
      <c r="HP110" s="70">
        <v>1</v>
      </c>
      <c r="HQ110" s="70">
        <v>0</v>
      </c>
      <c r="HR110" s="70">
        <v>0</v>
      </c>
      <c r="HS110" s="70">
        <v>0</v>
      </c>
      <c r="HT110" s="70">
        <v>0.96</v>
      </c>
      <c r="HU110" s="62" t="s">
        <v>262</v>
      </c>
      <c r="HV110" s="62" t="s">
        <v>278</v>
      </c>
      <c r="HW110" s="62"/>
      <c r="HX110" s="62"/>
    </row>
    <row r="111" spans="2:232" hidden="1" x14ac:dyDescent="0.2">
      <c r="B111" s="60">
        <v>22</v>
      </c>
      <c r="C111" s="60">
        <v>2</v>
      </c>
      <c r="D111" s="61" t="s">
        <v>349</v>
      </c>
      <c r="E111" s="62"/>
      <c r="F111" s="62"/>
      <c r="G111" s="62"/>
      <c r="H111" s="62"/>
      <c r="I111" s="62"/>
      <c r="J111" s="61" t="s">
        <v>350</v>
      </c>
      <c r="K111" s="60" t="s">
        <v>351</v>
      </c>
      <c r="L111" s="62" t="s">
        <v>352</v>
      </c>
      <c r="M111" s="63">
        <v>77587</v>
      </c>
      <c r="N111" s="73" t="s">
        <v>353</v>
      </c>
      <c r="O111" s="73"/>
      <c r="P111" s="73"/>
      <c r="Q111" s="73"/>
      <c r="R111" s="73"/>
      <c r="S111" s="71">
        <v>776060.9</v>
      </c>
      <c r="T111" s="74" t="s">
        <v>254</v>
      </c>
      <c r="U111" s="74">
        <v>98890.26</v>
      </c>
      <c r="V111" s="74">
        <f>SUM(LIST_LOCATIONDETAILS334[[#This Row],[Building]:[BI]])</f>
        <v>874951.16</v>
      </c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0" t="s">
        <v>269</v>
      </c>
      <c r="AQ111" s="62"/>
      <c r="AR111" s="62"/>
      <c r="AS111" s="60" t="s">
        <v>282</v>
      </c>
      <c r="AT111" s="60">
        <v>1962</v>
      </c>
      <c r="AU111" s="62"/>
      <c r="AV111" s="63"/>
      <c r="AW111" s="63"/>
      <c r="AX111" s="62"/>
      <c r="AY111" s="62"/>
      <c r="AZ111" s="60">
        <v>2</v>
      </c>
      <c r="BA111" s="60">
        <v>5256</v>
      </c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2"/>
      <c r="CB111" s="62"/>
      <c r="CC111" s="62"/>
      <c r="CD111" s="62"/>
      <c r="CE111" s="62"/>
      <c r="CF111" s="62"/>
      <c r="CG111" s="62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  <c r="EA111" s="62"/>
      <c r="EB111" s="62"/>
      <c r="EC111" s="62"/>
      <c r="ED111" s="62"/>
      <c r="EE111" s="62"/>
      <c r="EF111" s="62"/>
      <c r="EG111" s="62"/>
      <c r="EH111" s="62"/>
      <c r="EI111" s="62"/>
      <c r="EJ111" s="62"/>
      <c r="EK111" s="62"/>
      <c r="EL111" s="62"/>
      <c r="EM111" s="62"/>
      <c r="EN111" s="62"/>
      <c r="EO111" s="62"/>
      <c r="EP111" s="62"/>
      <c r="EQ111" s="62"/>
      <c r="ER111" s="62"/>
      <c r="ES111" s="62"/>
      <c r="ET111" s="62"/>
      <c r="EU111" s="62"/>
      <c r="EV111" s="62"/>
      <c r="EW111" s="62"/>
      <c r="EX111" s="62"/>
      <c r="EY111" s="62"/>
      <c r="EZ111" s="62"/>
      <c r="FA111" s="62"/>
      <c r="FB111" s="62"/>
      <c r="FC111" s="62"/>
      <c r="FD111" s="62"/>
      <c r="FE111" s="62"/>
      <c r="FF111" s="62"/>
      <c r="FG111" s="62"/>
      <c r="FH111" s="62"/>
      <c r="FI111" s="62"/>
      <c r="FJ111" s="67"/>
      <c r="FK111" s="67"/>
      <c r="FL111" s="67"/>
      <c r="FM111" s="67"/>
      <c r="FN111" s="67"/>
      <c r="FO111" s="67"/>
      <c r="FP111" s="67"/>
      <c r="FQ111" s="67"/>
      <c r="FR111" s="62"/>
      <c r="FS111" s="62"/>
      <c r="FT111" s="62"/>
      <c r="FU111" s="62"/>
      <c r="FV111" s="62"/>
      <c r="FW111" s="62"/>
      <c r="FX111" s="62"/>
      <c r="FY111" s="62"/>
      <c r="FZ111" s="62"/>
      <c r="GA111" s="62"/>
      <c r="GB111" s="62"/>
      <c r="GC111" s="62"/>
      <c r="GD111" s="62"/>
      <c r="GE111" s="62"/>
      <c r="GF111" s="63"/>
      <c r="GG111" s="63"/>
      <c r="GH111" s="62"/>
      <c r="GI111" s="62"/>
      <c r="GJ111" s="62"/>
      <c r="GK111" s="62"/>
      <c r="GL111" s="62"/>
      <c r="GM111" s="62"/>
      <c r="GN111" s="62"/>
      <c r="GO111" s="62"/>
      <c r="GP111" s="62"/>
      <c r="GQ111" s="62"/>
      <c r="GR111" s="62"/>
      <c r="GS111" s="62"/>
      <c r="GT111" s="62"/>
      <c r="GU111" s="62"/>
      <c r="GV111" s="62"/>
      <c r="GW111" s="62"/>
      <c r="GX111" s="62"/>
      <c r="GY111" s="62"/>
      <c r="GZ111" s="62"/>
      <c r="HA111" s="62"/>
      <c r="HB111" s="62"/>
      <c r="HC111" s="62"/>
      <c r="HD111" s="62"/>
      <c r="HE111" s="62"/>
      <c r="HF111" s="62"/>
      <c r="HG111" s="68" t="s">
        <v>257</v>
      </c>
      <c r="HH111" s="62" t="s">
        <v>336</v>
      </c>
      <c r="HI111" s="62"/>
      <c r="HJ111" s="62">
        <v>8</v>
      </c>
      <c r="HK111" s="62">
        <v>2023</v>
      </c>
      <c r="HL111" s="62" t="s">
        <v>301</v>
      </c>
      <c r="HM111" s="62">
        <v>2023</v>
      </c>
      <c r="HN111" s="62">
        <v>2023</v>
      </c>
      <c r="HO111" s="62">
        <v>2023</v>
      </c>
      <c r="HP111" s="70">
        <v>1</v>
      </c>
      <c r="HQ111" s="70">
        <v>0</v>
      </c>
      <c r="HR111" s="70">
        <v>0</v>
      </c>
      <c r="HS111" s="70">
        <v>0</v>
      </c>
      <c r="HT111" s="70">
        <v>0.96</v>
      </c>
      <c r="HU111" s="62" t="s">
        <v>262</v>
      </c>
      <c r="HV111" s="62" t="s">
        <v>278</v>
      </c>
      <c r="HW111" s="62"/>
      <c r="HX111" s="62"/>
    </row>
    <row r="112" spans="2:232" hidden="1" x14ac:dyDescent="0.2">
      <c r="B112" s="60">
        <v>22</v>
      </c>
      <c r="C112" s="60">
        <v>3</v>
      </c>
      <c r="D112" s="61" t="s">
        <v>349</v>
      </c>
      <c r="E112" s="62"/>
      <c r="F112" s="62"/>
      <c r="G112" s="62"/>
      <c r="H112" s="62"/>
      <c r="I112" s="62"/>
      <c r="J112" s="61" t="s">
        <v>350</v>
      </c>
      <c r="K112" s="60" t="s">
        <v>351</v>
      </c>
      <c r="L112" s="62" t="s">
        <v>352</v>
      </c>
      <c r="M112" s="63">
        <v>77587</v>
      </c>
      <c r="N112" s="73" t="s">
        <v>353</v>
      </c>
      <c r="O112" s="73"/>
      <c r="P112" s="73"/>
      <c r="Q112" s="73"/>
      <c r="R112" s="73"/>
      <c r="S112" s="71">
        <v>776060.9</v>
      </c>
      <c r="T112" s="74" t="s">
        <v>254</v>
      </c>
      <c r="U112" s="74">
        <v>98890.26</v>
      </c>
      <c r="V112" s="74">
        <f>SUM(LIST_LOCATIONDETAILS334[[#This Row],[Building]:[BI]])</f>
        <v>874951.16</v>
      </c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0" t="s">
        <v>269</v>
      </c>
      <c r="AQ112" s="62"/>
      <c r="AR112" s="62"/>
      <c r="AS112" s="60" t="s">
        <v>282</v>
      </c>
      <c r="AT112" s="60">
        <v>1962</v>
      </c>
      <c r="AU112" s="62"/>
      <c r="AV112" s="63"/>
      <c r="AW112" s="63"/>
      <c r="AX112" s="62"/>
      <c r="AY112" s="62"/>
      <c r="AZ112" s="60">
        <v>2</v>
      </c>
      <c r="BA112" s="60">
        <v>5256</v>
      </c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  <c r="EA112" s="62"/>
      <c r="EB112" s="62"/>
      <c r="EC112" s="62"/>
      <c r="ED112" s="62"/>
      <c r="EE112" s="62"/>
      <c r="EF112" s="62"/>
      <c r="EG112" s="62"/>
      <c r="EH112" s="62"/>
      <c r="EI112" s="62"/>
      <c r="EJ112" s="62"/>
      <c r="EK112" s="62"/>
      <c r="EL112" s="62"/>
      <c r="EM112" s="62"/>
      <c r="EN112" s="62"/>
      <c r="EO112" s="62"/>
      <c r="EP112" s="62"/>
      <c r="EQ112" s="62"/>
      <c r="ER112" s="62"/>
      <c r="ES112" s="62"/>
      <c r="ET112" s="62"/>
      <c r="EU112" s="62"/>
      <c r="EV112" s="62"/>
      <c r="EW112" s="62"/>
      <c r="EX112" s="62"/>
      <c r="EY112" s="62"/>
      <c r="EZ112" s="62"/>
      <c r="FA112" s="62"/>
      <c r="FB112" s="62"/>
      <c r="FC112" s="62"/>
      <c r="FD112" s="62"/>
      <c r="FE112" s="62"/>
      <c r="FF112" s="62"/>
      <c r="FG112" s="62"/>
      <c r="FH112" s="62"/>
      <c r="FI112" s="62"/>
      <c r="FJ112" s="67"/>
      <c r="FK112" s="67"/>
      <c r="FL112" s="67"/>
      <c r="FM112" s="67"/>
      <c r="FN112" s="67"/>
      <c r="FO112" s="67"/>
      <c r="FP112" s="67"/>
      <c r="FQ112" s="67"/>
      <c r="FR112" s="62"/>
      <c r="FS112" s="62"/>
      <c r="FT112" s="62"/>
      <c r="FU112" s="62"/>
      <c r="FV112" s="62"/>
      <c r="FW112" s="62"/>
      <c r="FX112" s="62"/>
      <c r="FY112" s="62"/>
      <c r="FZ112" s="62"/>
      <c r="GA112" s="62"/>
      <c r="GB112" s="62"/>
      <c r="GC112" s="62"/>
      <c r="GD112" s="62"/>
      <c r="GE112" s="62"/>
      <c r="GF112" s="63"/>
      <c r="GG112" s="63"/>
      <c r="GH112" s="62"/>
      <c r="GI112" s="62"/>
      <c r="GJ112" s="62"/>
      <c r="GK112" s="62"/>
      <c r="GL112" s="62"/>
      <c r="GM112" s="62"/>
      <c r="GN112" s="62"/>
      <c r="GO112" s="62"/>
      <c r="GP112" s="62"/>
      <c r="GQ112" s="62"/>
      <c r="GR112" s="62"/>
      <c r="GS112" s="62"/>
      <c r="GT112" s="62"/>
      <c r="GU112" s="62"/>
      <c r="GV112" s="62"/>
      <c r="GW112" s="62"/>
      <c r="GX112" s="62"/>
      <c r="GY112" s="62"/>
      <c r="GZ112" s="62"/>
      <c r="HA112" s="62"/>
      <c r="HB112" s="62"/>
      <c r="HC112" s="62"/>
      <c r="HD112" s="62"/>
      <c r="HE112" s="62"/>
      <c r="HF112" s="62"/>
      <c r="HG112" s="68" t="s">
        <v>257</v>
      </c>
      <c r="HH112" s="62" t="s">
        <v>336</v>
      </c>
      <c r="HI112" s="62"/>
      <c r="HJ112" s="62">
        <v>8</v>
      </c>
      <c r="HK112" s="62">
        <v>2023</v>
      </c>
      <c r="HL112" s="62" t="s">
        <v>301</v>
      </c>
      <c r="HM112" s="62">
        <v>2023</v>
      </c>
      <c r="HN112" s="62">
        <v>2023</v>
      </c>
      <c r="HO112" s="62">
        <v>2023</v>
      </c>
      <c r="HP112" s="70">
        <v>1</v>
      </c>
      <c r="HQ112" s="70">
        <v>0</v>
      </c>
      <c r="HR112" s="70">
        <v>0</v>
      </c>
      <c r="HS112" s="70">
        <v>0</v>
      </c>
      <c r="HT112" s="70">
        <v>0.96</v>
      </c>
      <c r="HU112" s="62" t="s">
        <v>262</v>
      </c>
      <c r="HV112" s="62" t="s">
        <v>278</v>
      </c>
      <c r="HW112" s="62"/>
      <c r="HX112" s="62"/>
    </row>
    <row r="113" spans="2:232" hidden="1" x14ac:dyDescent="0.2">
      <c r="B113" s="60">
        <v>22</v>
      </c>
      <c r="C113" s="60">
        <v>4</v>
      </c>
      <c r="D113" s="61" t="s">
        <v>349</v>
      </c>
      <c r="E113" s="62"/>
      <c r="F113" s="62"/>
      <c r="G113" s="62"/>
      <c r="H113" s="62"/>
      <c r="I113" s="62"/>
      <c r="J113" s="61" t="s">
        <v>350</v>
      </c>
      <c r="K113" s="60" t="s">
        <v>351</v>
      </c>
      <c r="L113" s="62" t="s">
        <v>352</v>
      </c>
      <c r="M113" s="63">
        <v>77587</v>
      </c>
      <c r="N113" s="73" t="s">
        <v>353</v>
      </c>
      <c r="O113" s="73"/>
      <c r="P113" s="73"/>
      <c r="Q113" s="73"/>
      <c r="R113" s="73"/>
      <c r="S113" s="71">
        <v>776060.9</v>
      </c>
      <c r="T113" s="74" t="s">
        <v>254</v>
      </c>
      <c r="U113" s="74">
        <v>98890.26</v>
      </c>
      <c r="V113" s="74">
        <f>SUM(LIST_LOCATIONDETAILS334[[#This Row],[Building]:[BI]])</f>
        <v>874951.16</v>
      </c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0" t="s">
        <v>269</v>
      </c>
      <c r="AQ113" s="62"/>
      <c r="AR113" s="62"/>
      <c r="AS113" s="60" t="s">
        <v>282</v>
      </c>
      <c r="AT113" s="60">
        <v>1962</v>
      </c>
      <c r="AU113" s="62"/>
      <c r="AV113" s="63"/>
      <c r="AW113" s="63"/>
      <c r="AX113" s="62"/>
      <c r="AY113" s="62"/>
      <c r="AZ113" s="60">
        <v>2</v>
      </c>
      <c r="BA113" s="60">
        <v>5256</v>
      </c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2"/>
      <c r="CB113" s="62"/>
      <c r="CC113" s="62"/>
      <c r="CD113" s="62"/>
      <c r="CE113" s="62"/>
      <c r="CF113" s="62"/>
      <c r="CG113" s="62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  <c r="EA113" s="62"/>
      <c r="EB113" s="62"/>
      <c r="EC113" s="62"/>
      <c r="ED113" s="62"/>
      <c r="EE113" s="62"/>
      <c r="EF113" s="62"/>
      <c r="EG113" s="62"/>
      <c r="EH113" s="62"/>
      <c r="EI113" s="62"/>
      <c r="EJ113" s="62"/>
      <c r="EK113" s="62"/>
      <c r="EL113" s="62"/>
      <c r="EM113" s="62"/>
      <c r="EN113" s="62"/>
      <c r="EO113" s="62"/>
      <c r="EP113" s="62"/>
      <c r="EQ113" s="62"/>
      <c r="ER113" s="62"/>
      <c r="ES113" s="62"/>
      <c r="ET113" s="62"/>
      <c r="EU113" s="62"/>
      <c r="EV113" s="62"/>
      <c r="EW113" s="62"/>
      <c r="EX113" s="62"/>
      <c r="EY113" s="62"/>
      <c r="EZ113" s="62"/>
      <c r="FA113" s="62"/>
      <c r="FB113" s="62"/>
      <c r="FC113" s="62"/>
      <c r="FD113" s="62"/>
      <c r="FE113" s="62"/>
      <c r="FF113" s="62"/>
      <c r="FG113" s="62"/>
      <c r="FH113" s="62"/>
      <c r="FI113" s="62"/>
      <c r="FJ113" s="67"/>
      <c r="FK113" s="67"/>
      <c r="FL113" s="67"/>
      <c r="FM113" s="67"/>
      <c r="FN113" s="67"/>
      <c r="FO113" s="67"/>
      <c r="FP113" s="67"/>
      <c r="FQ113" s="67"/>
      <c r="FR113" s="62"/>
      <c r="FS113" s="62"/>
      <c r="FT113" s="62"/>
      <c r="FU113" s="62"/>
      <c r="FV113" s="62"/>
      <c r="FW113" s="62"/>
      <c r="FX113" s="62"/>
      <c r="FY113" s="62"/>
      <c r="FZ113" s="62"/>
      <c r="GA113" s="62"/>
      <c r="GB113" s="62"/>
      <c r="GC113" s="62"/>
      <c r="GD113" s="62"/>
      <c r="GE113" s="62"/>
      <c r="GF113" s="63"/>
      <c r="GG113" s="63"/>
      <c r="GH113" s="62"/>
      <c r="GI113" s="62"/>
      <c r="GJ113" s="62"/>
      <c r="GK113" s="62"/>
      <c r="GL113" s="62"/>
      <c r="GM113" s="62"/>
      <c r="GN113" s="62"/>
      <c r="GO113" s="62"/>
      <c r="GP113" s="62"/>
      <c r="GQ113" s="62"/>
      <c r="GR113" s="62"/>
      <c r="GS113" s="62"/>
      <c r="GT113" s="62"/>
      <c r="GU113" s="62"/>
      <c r="GV113" s="62"/>
      <c r="GW113" s="62"/>
      <c r="GX113" s="62"/>
      <c r="GY113" s="62"/>
      <c r="GZ113" s="62"/>
      <c r="HA113" s="62"/>
      <c r="HB113" s="62"/>
      <c r="HC113" s="62"/>
      <c r="HD113" s="62"/>
      <c r="HE113" s="62"/>
      <c r="HF113" s="62"/>
      <c r="HG113" s="68" t="s">
        <v>257</v>
      </c>
      <c r="HH113" s="62" t="s">
        <v>336</v>
      </c>
      <c r="HI113" s="62"/>
      <c r="HJ113" s="62">
        <v>8</v>
      </c>
      <c r="HK113" s="62">
        <v>2023</v>
      </c>
      <c r="HL113" s="62" t="s">
        <v>301</v>
      </c>
      <c r="HM113" s="62">
        <v>2023</v>
      </c>
      <c r="HN113" s="62">
        <v>2023</v>
      </c>
      <c r="HO113" s="62">
        <v>2023</v>
      </c>
      <c r="HP113" s="70">
        <v>1</v>
      </c>
      <c r="HQ113" s="70">
        <v>0</v>
      </c>
      <c r="HR113" s="70">
        <v>0</v>
      </c>
      <c r="HS113" s="70">
        <v>0</v>
      </c>
      <c r="HT113" s="70">
        <v>0.96</v>
      </c>
      <c r="HU113" s="62" t="s">
        <v>262</v>
      </c>
      <c r="HV113" s="62" t="s">
        <v>278</v>
      </c>
      <c r="HW113" s="62"/>
      <c r="HX113" s="62"/>
    </row>
    <row r="114" spans="2:232" hidden="1" x14ac:dyDescent="0.2">
      <c r="B114" s="60">
        <v>22</v>
      </c>
      <c r="C114" s="60">
        <v>5</v>
      </c>
      <c r="D114" s="61" t="s">
        <v>349</v>
      </c>
      <c r="E114" s="62"/>
      <c r="F114" s="62"/>
      <c r="G114" s="62"/>
      <c r="H114" s="62"/>
      <c r="I114" s="62"/>
      <c r="J114" s="61" t="s">
        <v>350</v>
      </c>
      <c r="K114" s="60" t="s">
        <v>351</v>
      </c>
      <c r="L114" s="62" t="s">
        <v>352</v>
      </c>
      <c r="M114" s="63">
        <v>77587</v>
      </c>
      <c r="N114" s="73" t="s">
        <v>353</v>
      </c>
      <c r="O114" s="73"/>
      <c r="P114" s="73"/>
      <c r="Q114" s="73"/>
      <c r="R114" s="73"/>
      <c r="S114" s="71">
        <v>776060.9</v>
      </c>
      <c r="T114" s="74" t="s">
        <v>254</v>
      </c>
      <c r="U114" s="74">
        <v>98890.26</v>
      </c>
      <c r="V114" s="74">
        <f>SUM(LIST_LOCATIONDETAILS334[[#This Row],[Building]:[BI]])</f>
        <v>874951.16</v>
      </c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0" t="s">
        <v>269</v>
      </c>
      <c r="AQ114" s="62"/>
      <c r="AR114" s="62"/>
      <c r="AS114" s="60" t="s">
        <v>282</v>
      </c>
      <c r="AT114" s="60">
        <v>1962</v>
      </c>
      <c r="AU114" s="62"/>
      <c r="AV114" s="63"/>
      <c r="AW114" s="63"/>
      <c r="AX114" s="62"/>
      <c r="AY114" s="62"/>
      <c r="AZ114" s="60">
        <v>2</v>
      </c>
      <c r="BA114" s="60">
        <v>5256</v>
      </c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2"/>
      <c r="CB114" s="62"/>
      <c r="CC114" s="62"/>
      <c r="CD114" s="62"/>
      <c r="CE114" s="62"/>
      <c r="CF114" s="62"/>
      <c r="CG114" s="62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  <c r="EA114" s="62"/>
      <c r="EB114" s="62"/>
      <c r="EC114" s="62"/>
      <c r="ED114" s="62"/>
      <c r="EE114" s="62"/>
      <c r="EF114" s="62"/>
      <c r="EG114" s="62"/>
      <c r="EH114" s="62"/>
      <c r="EI114" s="62"/>
      <c r="EJ114" s="62"/>
      <c r="EK114" s="62"/>
      <c r="EL114" s="62"/>
      <c r="EM114" s="62"/>
      <c r="EN114" s="62"/>
      <c r="EO114" s="62"/>
      <c r="EP114" s="62"/>
      <c r="EQ114" s="62"/>
      <c r="ER114" s="62"/>
      <c r="ES114" s="62"/>
      <c r="ET114" s="62"/>
      <c r="EU114" s="62"/>
      <c r="EV114" s="62"/>
      <c r="EW114" s="62"/>
      <c r="EX114" s="62"/>
      <c r="EY114" s="62"/>
      <c r="EZ114" s="62"/>
      <c r="FA114" s="62"/>
      <c r="FB114" s="62"/>
      <c r="FC114" s="62"/>
      <c r="FD114" s="62"/>
      <c r="FE114" s="62"/>
      <c r="FF114" s="62"/>
      <c r="FG114" s="62"/>
      <c r="FH114" s="62"/>
      <c r="FI114" s="62"/>
      <c r="FJ114" s="67"/>
      <c r="FK114" s="67"/>
      <c r="FL114" s="67"/>
      <c r="FM114" s="67"/>
      <c r="FN114" s="67"/>
      <c r="FO114" s="67"/>
      <c r="FP114" s="67"/>
      <c r="FQ114" s="67"/>
      <c r="FR114" s="62"/>
      <c r="FS114" s="62"/>
      <c r="FT114" s="62"/>
      <c r="FU114" s="62"/>
      <c r="FV114" s="62"/>
      <c r="FW114" s="62"/>
      <c r="FX114" s="62"/>
      <c r="FY114" s="62"/>
      <c r="FZ114" s="62"/>
      <c r="GA114" s="62"/>
      <c r="GB114" s="62"/>
      <c r="GC114" s="62"/>
      <c r="GD114" s="62"/>
      <c r="GE114" s="62"/>
      <c r="GF114" s="63"/>
      <c r="GG114" s="63"/>
      <c r="GH114" s="62"/>
      <c r="GI114" s="62"/>
      <c r="GJ114" s="62"/>
      <c r="GK114" s="62"/>
      <c r="GL114" s="62"/>
      <c r="GM114" s="62"/>
      <c r="GN114" s="62"/>
      <c r="GO114" s="62"/>
      <c r="GP114" s="62"/>
      <c r="GQ114" s="62"/>
      <c r="GR114" s="62"/>
      <c r="GS114" s="62"/>
      <c r="GT114" s="62"/>
      <c r="GU114" s="62"/>
      <c r="GV114" s="62"/>
      <c r="GW114" s="62"/>
      <c r="GX114" s="62"/>
      <c r="GY114" s="62"/>
      <c r="GZ114" s="62"/>
      <c r="HA114" s="62"/>
      <c r="HB114" s="62"/>
      <c r="HC114" s="62"/>
      <c r="HD114" s="62"/>
      <c r="HE114" s="62"/>
      <c r="HF114" s="62"/>
      <c r="HG114" s="68" t="s">
        <v>257</v>
      </c>
      <c r="HH114" s="62" t="s">
        <v>336</v>
      </c>
      <c r="HI114" s="62"/>
      <c r="HJ114" s="62">
        <v>8</v>
      </c>
      <c r="HK114" s="62">
        <v>2023</v>
      </c>
      <c r="HL114" s="62" t="s">
        <v>301</v>
      </c>
      <c r="HM114" s="62">
        <v>2023</v>
      </c>
      <c r="HN114" s="62">
        <v>2023</v>
      </c>
      <c r="HO114" s="62">
        <v>2023</v>
      </c>
      <c r="HP114" s="70">
        <v>1</v>
      </c>
      <c r="HQ114" s="70">
        <v>0</v>
      </c>
      <c r="HR114" s="70">
        <v>0</v>
      </c>
      <c r="HS114" s="70">
        <v>0</v>
      </c>
      <c r="HT114" s="70">
        <v>0.96</v>
      </c>
      <c r="HU114" s="62" t="s">
        <v>262</v>
      </c>
      <c r="HV114" s="62" t="s">
        <v>278</v>
      </c>
      <c r="HW114" s="62"/>
      <c r="HX114" s="62"/>
    </row>
    <row r="115" spans="2:232" hidden="1" x14ac:dyDescent="0.2">
      <c r="B115" s="60">
        <v>22</v>
      </c>
      <c r="C115" s="60">
        <v>6</v>
      </c>
      <c r="D115" s="61" t="s">
        <v>349</v>
      </c>
      <c r="E115" s="62"/>
      <c r="F115" s="62"/>
      <c r="G115" s="62"/>
      <c r="H115" s="62"/>
      <c r="I115" s="62"/>
      <c r="J115" s="61" t="s">
        <v>350</v>
      </c>
      <c r="K115" s="60" t="s">
        <v>351</v>
      </c>
      <c r="L115" s="62" t="s">
        <v>352</v>
      </c>
      <c r="M115" s="63">
        <v>77587</v>
      </c>
      <c r="N115" s="73" t="s">
        <v>353</v>
      </c>
      <c r="O115" s="73"/>
      <c r="P115" s="73"/>
      <c r="Q115" s="73"/>
      <c r="R115" s="73"/>
      <c r="S115" s="71">
        <v>778128.03</v>
      </c>
      <c r="T115" s="74" t="s">
        <v>254</v>
      </c>
      <c r="U115" s="74">
        <v>99153.67</v>
      </c>
      <c r="V115" s="74">
        <f>SUM(LIST_LOCATIONDETAILS334[[#This Row],[Building]:[BI]])</f>
        <v>877281.70000000007</v>
      </c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0" t="s">
        <v>269</v>
      </c>
      <c r="AQ115" s="62"/>
      <c r="AR115" s="62"/>
      <c r="AS115" s="60" t="s">
        <v>282</v>
      </c>
      <c r="AT115" s="60">
        <v>1962</v>
      </c>
      <c r="AU115" s="62"/>
      <c r="AV115" s="63"/>
      <c r="AW115" s="63"/>
      <c r="AX115" s="62"/>
      <c r="AY115" s="62"/>
      <c r="AZ115" s="60">
        <v>2</v>
      </c>
      <c r="BA115" s="60">
        <v>5270</v>
      </c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2"/>
      <c r="CB115" s="62"/>
      <c r="CC115" s="62"/>
      <c r="CD115" s="62"/>
      <c r="CE115" s="62"/>
      <c r="CF115" s="62"/>
      <c r="CG115" s="62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  <c r="EA115" s="62"/>
      <c r="EB115" s="62"/>
      <c r="EC115" s="62"/>
      <c r="ED115" s="62"/>
      <c r="EE115" s="62"/>
      <c r="EF115" s="62"/>
      <c r="EG115" s="62"/>
      <c r="EH115" s="62"/>
      <c r="EI115" s="62"/>
      <c r="EJ115" s="62"/>
      <c r="EK115" s="62"/>
      <c r="EL115" s="62"/>
      <c r="EM115" s="62"/>
      <c r="EN115" s="62"/>
      <c r="EO115" s="62"/>
      <c r="EP115" s="62"/>
      <c r="EQ115" s="62"/>
      <c r="ER115" s="62"/>
      <c r="ES115" s="62"/>
      <c r="ET115" s="62"/>
      <c r="EU115" s="62"/>
      <c r="EV115" s="62"/>
      <c r="EW115" s="62"/>
      <c r="EX115" s="62"/>
      <c r="EY115" s="62"/>
      <c r="EZ115" s="62"/>
      <c r="FA115" s="62"/>
      <c r="FB115" s="62"/>
      <c r="FC115" s="62"/>
      <c r="FD115" s="62"/>
      <c r="FE115" s="62"/>
      <c r="FF115" s="62"/>
      <c r="FG115" s="62"/>
      <c r="FH115" s="62"/>
      <c r="FI115" s="62"/>
      <c r="FJ115" s="67"/>
      <c r="FK115" s="67"/>
      <c r="FL115" s="67"/>
      <c r="FM115" s="67"/>
      <c r="FN115" s="67"/>
      <c r="FO115" s="67"/>
      <c r="FP115" s="67"/>
      <c r="FQ115" s="67"/>
      <c r="FR115" s="62"/>
      <c r="FS115" s="62"/>
      <c r="FT115" s="62"/>
      <c r="FU115" s="62"/>
      <c r="FV115" s="62"/>
      <c r="FW115" s="62"/>
      <c r="FX115" s="62"/>
      <c r="FY115" s="62"/>
      <c r="FZ115" s="62"/>
      <c r="GA115" s="62"/>
      <c r="GB115" s="62"/>
      <c r="GC115" s="62"/>
      <c r="GD115" s="62"/>
      <c r="GE115" s="62"/>
      <c r="GF115" s="63"/>
      <c r="GG115" s="63"/>
      <c r="GH115" s="62"/>
      <c r="GI115" s="62"/>
      <c r="GJ115" s="62"/>
      <c r="GK115" s="62"/>
      <c r="GL115" s="62"/>
      <c r="GM115" s="62"/>
      <c r="GN115" s="62"/>
      <c r="GO115" s="62"/>
      <c r="GP115" s="62"/>
      <c r="GQ115" s="62"/>
      <c r="GR115" s="62"/>
      <c r="GS115" s="62"/>
      <c r="GT115" s="62"/>
      <c r="GU115" s="62"/>
      <c r="GV115" s="62"/>
      <c r="GW115" s="62"/>
      <c r="GX115" s="62"/>
      <c r="GY115" s="62"/>
      <c r="GZ115" s="62"/>
      <c r="HA115" s="62"/>
      <c r="HB115" s="62"/>
      <c r="HC115" s="62"/>
      <c r="HD115" s="62"/>
      <c r="HE115" s="62"/>
      <c r="HF115" s="62"/>
      <c r="HG115" s="68" t="s">
        <v>257</v>
      </c>
      <c r="HH115" s="62" t="s">
        <v>336</v>
      </c>
      <c r="HI115" s="62"/>
      <c r="HJ115" s="62">
        <v>6</v>
      </c>
      <c r="HK115" s="62">
        <v>2023</v>
      </c>
      <c r="HL115" s="62" t="s">
        <v>301</v>
      </c>
      <c r="HM115" s="62">
        <v>2023</v>
      </c>
      <c r="HN115" s="62">
        <v>2023</v>
      </c>
      <c r="HO115" s="62">
        <v>2023</v>
      </c>
      <c r="HP115" s="70">
        <v>1</v>
      </c>
      <c r="HQ115" s="70">
        <v>0</v>
      </c>
      <c r="HR115" s="70">
        <v>0</v>
      </c>
      <c r="HS115" s="70">
        <v>0</v>
      </c>
      <c r="HT115" s="70">
        <v>0.96</v>
      </c>
      <c r="HU115" s="62" t="s">
        <v>262</v>
      </c>
      <c r="HV115" s="62" t="s">
        <v>278</v>
      </c>
      <c r="HW115" s="62"/>
      <c r="HX115" s="62"/>
    </row>
    <row r="116" spans="2:232" hidden="1" x14ac:dyDescent="0.2">
      <c r="B116" s="60">
        <v>22</v>
      </c>
      <c r="C116" s="60">
        <v>7</v>
      </c>
      <c r="D116" s="61" t="s">
        <v>349</v>
      </c>
      <c r="E116" s="62"/>
      <c r="F116" s="62"/>
      <c r="G116" s="62"/>
      <c r="H116" s="62"/>
      <c r="I116" s="62"/>
      <c r="J116" s="61" t="s">
        <v>350</v>
      </c>
      <c r="K116" s="60" t="s">
        <v>351</v>
      </c>
      <c r="L116" s="62" t="s">
        <v>352</v>
      </c>
      <c r="M116" s="63">
        <v>77587</v>
      </c>
      <c r="N116" s="73" t="s">
        <v>353</v>
      </c>
      <c r="O116" s="73"/>
      <c r="P116" s="73"/>
      <c r="Q116" s="73"/>
      <c r="R116" s="73"/>
      <c r="S116" s="71">
        <v>778128.03</v>
      </c>
      <c r="T116" s="74" t="s">
        <v>254</v>
      </c>
      <c r="U116" s="74">
        <v>99153.67</v>
      </c>
      <c r="V116" s="74">
        <f>SUM(LIST_LOCATIONDETAILS334[[#This Row],[Building]:[BI]])</f>
        <v>877281.70000000007</v>
      </c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0" t="s">
        <v>269</v>
      </c>
      <c r="AQ116" s="62"/>
      <c r="AR116" s="62"/>
      <c r="AS116" s="60" t="s">
        <v>282</v>
      </c>
      <c r="AT116" s="60">
        <v>1962</v>
      </c>
      <c r="AU116" s="62"/>
      <c r="AV116" s="63"/>
      <c r="AW116" s="63"/>
      <c r="AX116" s="62"/>
      <c r="AY116" s="62"/>
      <c r="AZ116" s="60">
        <v>2</v>
      </c>
      <c r="BA116" s="60">
        <v>5270</v>
      </c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2"/>
      <c r="CB116" s="62"/>
      <c r="CC116" s="62"/>
      <c r="CD116" s="62"/>
      <c r="CE116" s="62"/>
      <c r="CF116" s="62"/>
      <c r="CG116" s="62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  <c r="EA116" s="62"/>
      <c r="EB116" s="62"/>
      <c r="EC116" s="62"/>
      <c r="ED116" s="62"/>
      <c r="EE116" s="62"/>
      <c r="EF116" s="62"/>
      <c r="EG116" s="62"/>
      <c r="EH116" s="62"/>
      <c r="EI116" s="62"/>
      <c r="EJ116" s="62"/>
      <c r="EK116" s="62"/>
      <c r="EL116" s="62"/>
      <c r="EM116" s="62"/>
      <c r="EN116" s="62"/>
      <c r="EO116" s="62"/>
      <c r="EP116" s="62"/>
      <c r="EQ116" s="62"/>
      <c r="ER116" s="62"/>
      <c r="ES116" s="62"/>
      <c r="ET116" s="62"/>
      <c r="EU116" s="62"/>
      <c r="EV116" s="62"/>
      <c r="EW116" s="62"/>
      <c r="EX116" s="62"/>
      <c r="EY116" s="62"/>
      <c r="EZ116" s="62"/>
      <c r="FA116" s="62"/>
      <c r="FB116" s="62"/>
      <c r="FC116" s="62"/>
      <c r="FD116" s="62"/>
      <c r="FE116" s="62"/>
      <c r="FF116" s="62"/>
      <c r="FG116" s="62"/>
      <c r="FH116" s="62"/>
      <c r="FI116" s="62"/>
      <c r="FJ116" s="67"/>
      <c r="FK116" s="67"/>
      <c r="FL116" s="67"/>
      <c r="FM116" s="67"/>
      <c r="FN116" s="67"/>
      <c r="FO116" s="67"/>
      <c r="FP116" s="67"/>
      <c r="FQ116" s="67"/>
      <c r="FR116" s="62"/>
      <c r="FS116" s="62"/>
      <c r="FT116" s="62"/>
      <c r="FU116" s="62"/>
      <c r="FV116" s="62"/>
      <c r="FW116" s="62"/>
      <c r="FX116" s="62"/>
      <c r="FY116" s="62"/>
      <c r="FZ116" s="62"/>
      <c r="GA116" s="62"/>
      <c r="GB116" s="62"/>
      <c r="GC116" s="62"/>
      <c r="GD116" s="62"/>
      <c r="GE116" s="62"/>
      <c r="GF116" s="63"/>
      <c r="GG116" s="63"/>
      <c r="GH116" s="62"/>
      <c r="GI116" s="62"/>
      <c r="GJ116" s="62"/>
      <c r="GK116" s="62"/>
      <c r="GL116" s="62"/>
      <c r="GM116" s="62"/>
      <c r="GN116" s="62"/>
      <c r="GO116" s="62"/>
      <c r="GP116" s="62"/>
      <c r="GQ116" s="62"/>
      <c r="GR116" s="62"/>
      <c r="GS116" s="62"/>
      <c r="GT116" s="62"/>
      <c r="GU116" s="62"/>
      <c r="GV116" s="62"/>
      <c r="GW116" s="62"/>
      <c r="GX116" s="62"/>
      <c r="GY116" s="62"/>
      <c r="GZ116" s="62"/>
      <c r="HA116" s="62"/>
      <c r="HB116" s="62"/>
      <c r="HC116" s="62"/>
      <c r="HD116" s="62"/>
      <c r="HE116" s="62"/>
      <c r="HF116" s="62"/>
      <c r="HG116" s="68" t="s">
        <v>257</v>
      </c>
      <c r="HH116" s="62" t="s">
        <v>336</v>
      </c>
      <c r="HI116" s="62"/>
      <c r="HJ116" s="62">
        <v>6</v>
      </c>
      <c r="HK116" s="62">
        <v>2023</v>
      </c>
      <c r="HL116" s="62" t="s">
        <v>301</v>
      </c>
      <c r="HM116" s="62">
        <v>2023</v>
      </c>
      <c r="HN116" s="62">
        <v>2023</v>
      </c>
      <c r="HO116" s="62">
        <v>2023</v>
      </c>
      <c r="HP116" s="70">
        <v>1</v>
      </c>
      <c r="HQ116" s="70">
        <v>0</v>
      </c>
      <c r="HR116" s="70">
        <v>0</v>
      </c>
      <c r="HS116" s="70">
        <v>0</v>
      </c>
      <c r="HT116" s="70">
        <v>0.96</v>
      </c>
      <c r="HU116" s="62" t="s">
        <v>262</v>
      </c>
      <c r="HV116" s="62" t="s">
        <v>278</v>
      </c>
      <c r="HW116" s="62"/>
      <c r="HX116" s="62"/>
    </row>
    <row r="117" spans="2:232" hidden="1" x14ac:dyDescent="0.2">
      <c r="B117" s="60">
        <v>22</v>
      </c>
      <c r="C117" s="60">
        <v>8</v>
      </c>
      <c r="D117" s="61" t="s">
        <v>349</v>
      </c>
      <c r="E117" s="62"/>
      <c r="F117" s="62"/>
      <c r="G117" s="62"/>
      <c r="H117" s="62"/>
      <c r="I117" s="62"/>
      <c r="J117" s="61" t="s">
        <v>350</v>
      </c>
      <c r="K117" s="60" t="s">
        <v>351</v>
      </c>
      <c r="L117" s="62" t="s">
        <v>352</v>
      </c>
      <c r="M117" s="63">
        <v>77587</v>
      </c>
      <c r="N117" s="73" t="s">
        <v>353</v>
      </c>
      <c r="O117" s="73"/>
      <c r="P117" s="73"/>
      <c r="Q117" s="73"/>
      <c r="R117" s="73"/>
      <c r="S117" s="71">
        <v>778128.03</v>
      </c>
      <c r="T117" s="74" t="s">
        <v>254</v>
      </c>
      <c r="U117" s="74">
        <v>99153.67</v>
      </c>
      <c r="V117" s="74">
        <f>SUM(LIST_LOCATIONDETAILS334[[#This Row],[Building]:[BI]])</f>
        <v>877281.70000000007</v>
      </c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0" t="s">
        <v>269</v>
      </c>
      <c r="AQ117" s="62"/>
      <c r="AR117" s="62"/>
      <c r="AS117" s="60" t="s">
        <v>282</v>
      </c>
      <c r="AT117" s="60">
        <v>1962</v>
      </c>
      <c r="AU117" s="62"/>
      <c r="AV117" s="63"/>
      <c r="AW117" s="63"/>
      <c r="AX117" s="62"/>
      <c r="AY117" s="62"/>
      <c r="AZ117" s="60">
        <v>2</v>
      </c>
      <c r="BA117" s="60">
        <v>5270</v>
      </c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2"/>
      <c r="CB117" s="62"/>
      <c r="CC117" s="62"/>
      <c r="CD117" s="62"/>
      <c r="CE117" s="62"/>
      <c r="CF117" s="62"/>
      <c r="CG117" s="62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  <c r="EA117" s="62"/>
      <c r="EB117" s="62"/>
      <c r="EC117" s="62"/>
      <c r="ED117" s="62"/>
      <c r="EE117" s="62"/>
      <c r="EF117" s="62"/>
      <c r="EG117" s="62"/>
      <c r="EH117" s="62"/>
      <c r="EI117" s="62"/>
      <c r="EJ117" s="62"/>
      <c r="EK117" s="62"/>
      <c r="EL117" s="62"/>
      <c r="EM117" s="62"/>
      <c r="EN117" s="62"/>
      <c r="EO117" s="62"/>
      <c r="EP117" s="62"/>
      <c r="EQ117" s="62"/>
      <c r="ER117" s="62"/>
      <c r="ES117" s="62"/>
      <c r="ET117" s="62"/>
      <c r="EU117" s="62"/>
      <c r="EV117" s="62"/>
      <c r="EW117" s="62"/>
      <c r="EX117" s="62"/>
      <c r="EY117" s="62"/>
      <c r="EZ117" s="62"/>
      <c r="FA117" s="62"/>
      <c r="FB117" s="62"/>
      <c r="FC117" s="62"/>
      <c r="FD117" s="62"/>
      <c r="FE117" s="62"/>
      <c r="FF117" s="62"/>
      <c r="FG117" s="62"/>
      <c r="FH117" s="62"/>
      <c r="FI117" s="62"/>
      <c r="FJ117" s="67"/>
      <c r="FK117" s="67"/>
      <c r="FL117" s="67"/>
      <c r="FM117" s="67"/>
      <c r="FN117" s="67"/>
      <c r="FO117" s="67"/>
      <c r="FP117" s="67"/>
      <c r="FQ117" s="67"/>
      <c r="FR117" s="62"/>
      <c r="FS117" s="62"/>
      <c r="FT117" s="62"/>
      <c r="FU117" s="62"/>
      <c r="FV117" s="62"/>
      <c r="FW117" s="62"/>
      <c r="FX117" s="62"/>
      <c r="FY117" s="62"/>
      <c r="FZ117" s="62"/>
      <c r="GA117" s="62"/>
      <c r="GB117" s="62"/>
      <c r="GC117" s="62"/>
      <c r="GD117" s="62"/>
      <c r="GE117" s="62"/>
      <c r="GF117" s="63"/>
      <c r="GG117" s="63"/>
      <c r="GH117" s="62"/>
      <c r="GI117" s="62"/>
      <c r="GJ117" s="62"/>
      <c r="GK117" s="62"/>
      <c r="GL117" s="62"/>
      <c r="GM117" s="62"/>
      <c r="GN117" s="62"/>
      <c r="GO117" s="62"/>
      <c r="GP117" s="62"/>
      <c r="GQ117" s="62"/>
      <c r="GR117" s="62"/>
      <c r="GS117" s="62"/>
      <c r="GT117" s="62"/>
      <c r="GU117" s="62"/>
      <c r="GV117" s="62"/>
      <c r="GW117" s="62"/>
      <c r="GX117" s="62"/>
      <c r="GY117" s="62"/>
      <c r="GZ117" s="62"/>
      <c r="HA117" s="62"/>
      <c r="HB117" s="62"/>
      <c r="HC117" s="62"/>
      <c r="HD117" s="62"/>
      <c r="HE117" s="62"/>
      <c r="HF117" s="62"/>
      <c r="HG117" s="68" t="s">
        <v>257</v>
      </c>
      <c r="HH117" s="62" t="s">
        <v>336</v>
      </c>
      <c r="HI117" s="62"/>
      <c r="HJ117" s="62">
        <v>6</v>
      </c>
      <c r="HK117" s="62">
        <v>2023</v>
      </c>
      <c r="HL117" s="62" t="s">
        <v>301</v>
      </c>
      <c r="HM117" s="62">
        <v>2023</v>
      </c>
      <c r="HN117" s="62">
        <v>2023</v>
      </c>
      <c r="HO117" s="62">
        <v>2023</v>
      </c>
      <c r="HP117" s="70">
        <v>1</v>
      </c>
      <c r="HQ117" s="70">
        <v>0</v>
      </c>
      <c r="HR117" s="70">
        <v>0</v>
      </c>
      <c r="HS117" s="70">
        <v>0</v>
      </c>
      <c r="HT117" s="70">
        <v>0.96</v>
      </c>
      <c r="HU117" s="62" t="s">
        <v>262</v>
      </c>
      <c r="HV117" s="62" t="s">
        <v>278</v>
      </c>
      <c r="HW117" s="62"/>
      <c r="HX117" s="62"/>
    </row>
    <row r="118" spans="2:232" hidden="1" x14ac:dyDescent="0.2">
      <c r="B118" s="60">
        <v>22</v>
      </c>
      <c r="C118" s="60">
        <v>9</v>
      </c>
      <c r="D118" s="61" t="s">
        <v>349</v>
      </c>
      <c r="E118" s="62"/>
      <c r="F118" s="62"/>
      <c r="G118" s="62"/>
      <c r="H118" s="62"/>
      <c r="I118" s="62"/>
      <c r="J118" s="61" t="s">
        <v>350</v>
      </c>
      <c r="K118" s="60" t="s">
        <v>351</v>
      </c>
      <c r="L118" s="62" t="s">
        <v>352</v>
      </c>
      <c r="M118" s="63">
        <v>77587</v>
      </c>
      <c r="N118" s="73" t="s">
        <v>353</v>
      </c>
      <c r="O118" s="73"/>
      <c r="P118" s="73"/>
      <c r="Q118" s="73"/>
      <c r="R118" s="73"/>
      <c r="S118" s="71">
        <v>778128.03</v>
      </c>
      <c r="T118" s="74" t="s">
        <v>254</v>
      </c>
      <c r="U118" s="74">
        <v>99153.67</v>
      </c>
      <c r="V118" s="74">
        <f>SUM(LIST_LOCATIONDETAILS334[[#This Row],[Building]:[BI]])</f>
        <v>877281.70000000007</v>
      </c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0" t="s">
        <v>269</v>
      </c>
      <c r="AQ118" s="62"/>
      <c r="AR118" s="62"/>
      <c r="AS118" s="60" t="s">
        <v>282</v>
      </c>
      <c r="AT118" s="60">
        <v>1962</v>
      </c>
      <c r="AU118" s="62"/>
      <c r="AV118" s="63"/>
      <c r="AW118" s="63"/>
      <c r="AX118" s="62"/>
      <c r="AY118" s="62"/>
      <c r="AZ118" s="60">
        <v>2</v>
      </c>
      <c r="BA118" s="60">
        <v>5270</v>
      </c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2"/>
      <c r="CB118" s="62"/>
      <c r="CC118" s="62"/>
      <c r="CD118" s="62"/>
      <c r="CE118" s="62"/>
      <c r="CF118" s="62"/>
      <c r="CG118" s="62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  <c r="EA118" s="62"/>
      <c r="EB118" s="62"/>
      <c r="EC118" s="62"/>
      <c r="ED118" s="62"/>
      <c r="EE118" s="62"/>
      <c r="EF118" s="62"/>
      <c r="EG118" s="62"/>
      <c r="EH118" s="62"/>
      <c r="EI118" s="62"/>
      <c r="EJ118" s="62"/>
      <c r="EK118" s="62"/>
      <c r="EL118" s="62"/>
      <c r="EM118" s="62"/>
      <c r="EN118" s="62"/>
      <c r="EO118" s="62"/>
      <c r="EP118" s="62"/>
      <c r="EQ118" s="62"/>
      <c r="ER118" s="62"/>
      <c r="ES118" s="62"/>
      <c r="ET118" s="62"/>
      <c r="EU118" s="62"/>
      <c r="EV118" s="62"/>
      <c r="EW118" s="62"/>
      <c r="EX118" s="62"/>
      <c r="EY118" s="62"/>
      <c r="EZ118" s="62"/>
      <c r="FA118" s="62"/>
      <c r="FB118" s="62"/>
      <c r="FC118" s="62"/>
      <c r="FD118" s="62"/>
      <c r="FE118" s="62"/>
      <c r="FF118" s="62"/>
      <c r="FG118" s="62"/>
      <c r="FH118" s="62"/>
      <c r="FI118" s="62"/>
      <c r="FJ118" s="67"/>
      <c r="FK118" s="67"/>
      <c r="FL118" s="67"/>
      <c r="FM118" s="67"/>
      <c r="FN118" s="67"/>
      <c r="FO118" s="67"/>
      <c r="FP118" s="67"/>
      <c r="FQ118" s="67"/>
      <c r="FR118" s="62"/>
      <c r="FS118" s="62"/>
      <c r="FT118" s="62"/>
      <c r="FU118" s="62"/>
      <c r="FV118" s="62"/>
      <c r="FW118" s="62"/>
      <c r="FX118" s="62"/>
      <c r="FY118" s="62"/>
      <c r="FZ118" s="62"/>
      <c r="GA118" s="62"/>
      <c r="GB118" s="62"/>
      <c r="GC118" s="62"/>
      <c r="GD118" s="62"/>
      <c r="GE118" s="62"/>
      <c r="GF118" s="63"/>
      <c r="GG118" s="63"/>
      <c r="GH118" s="62"/>
      <c r="GI118" s="62"/>
      <c r="GJ118" s="62"/>
      <c r="GK118" s="62"/>
      <c r="GL118" s="62"/>
      <c r="GM118" s="62"/>
      <c r="GN118" s="62"/>
      <c r="GO118" s="62"/>
      <c r="GP118" s="62"/>
      <c r="GQ118" s="62"/>
      <c r="GR118" s="62"/>
      <c r="GS118" s="62"/>
      <c r="GT118" s="62"/>
      <c r="GU118" s="62"/>
      <c r="GV118" s="62"/>
      <c r="GW118" s="62"/>
      <c r="GX118" s="62"/>
      <c r="GY118" s="62"/>
      <c r="GZ118" s="62"/>
      <c r="HA118" s="62"/>
      <c r="HB118" s="62"/>
      <c r="HC118" s="62"/>
      <c r="HD118" s="62"/>
      <c r="HE118" s="62"/>
      <c r="HF118" s="62"/>
      <c r="HG118" s="68" t="s">
        <v>257</v>
      </c>
      <c r="HH118" s="62" t="s">
        <v>336</v>
      </c>
      <c r="HI118" s="62"/>
      <c r="HJ118" s="62">
        <v>6</v>
      </c>
      <c r="HK118" s="62">
        <v>2023</v>
      </c>
      <c r="HL118" s="62" t="s">
        <v>301</v>
      </c>
      <c r="HM118" s="62">
        <v>2023</v>
      </c>
      <c r="HN118" s="62">
        <v>2023</v>
      </c>
      <c r="HO118" s="62">
        <v>2023</v>
      </c>
      <c r="HP118" s="70">
        <v>1</v>
      </c>
      <c r="HQ118" s="70">
        <v>0</v>
      </c>
      <c r="HR118" s="70">
        <v>0</v>
      </c>
      <c r="HS118" s="70">
        <v>0</v>
      </c>
      <c r="HT118" s="70">
        <v>0.96</v>
      </c>
      <c r="HU118" s="62" t="s">
        <v>262</v>
      </c>
      <c r="HV118" s="62" t="s">
        <v>278</v>
      </c>
      <c r="HW118" s="62"/>
      <c r="HX118" s="62"/>
    </row>
    <row r="119" spans="2:232" hidden="1" x14ac:dyDescent="0.2">
      <c r="B119" s="60">
        <v>22</v>
      </c>
      <c r="C119" s="60">
        <v>10</v>
      </c>
      <c r="D119" s="61" t="s">
        <v>349</v>
      </c>
      <c r="E119" s="62"/>
      <c r="F119" s="62"/>
      <c r="G119" s="62"/>
      <c r="H119" s="62"/>
      <c r="I119" s="62"/>
      <c r="J119" s="61" t="s">
        <v>350</v>
      </c>
      <c r="K119" s="60" t="s">
        <v>351</v>
      </c>
      <c r="L119" s="62" t="s">
        <v>352</v>
      </c>
      <c r="M119" s="63">
        <v>77587</v>
      </c>
      <c r="N119" s="73" t="s">
        <v>353</v>
      </c>
      <c r="O119" s="73"/>
      <c r="P119" s="73"/>
      <c r="Q119" s="73"/>
      <c r="R119" s="73"/>
      <c r="S119" s="71">
        <v>1726056.3</v>
      </c>
      <c r="T119" s="74" t="s">
        <v>254</v>
      </c>
      <c r="U119" s="74">
        <v>219944.29</v>
      </c>
      <c r="V119" s="74">
        <f>SUM(LIST_LOCATIONDETAILS334[[#This Row],[Building]:[BI]])</f>
        <v>1946000.59</v>
      </c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0" t="s">
        <v>269</v>
      </c>
      <c r="AQ119" s="62"/>
      <c r="AR119" s="62"/>
      <c r="AS119" s="60" t="s">
        <v>282</v>
      </c>
      <c r="AT119" s="60">
        <v>1962</v>
      </c>
      <c r="AU119" s="62"/>
      <c r="AV119" s="63"/>
      <c r="AW119" s="63"/>
      <c r="AX119" s="62"/>
      <c r="AY119" s="62"/>
      <c r="AZ119" s="60">
        <v>2</v>
      </c>
      <c r="BA119" s="60">
        <v>11690</v>
      </c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2"/>
      <c r="CB119" s="62"/>
      <c r="CC119" s="62"/>
      <c r="CD119" s="62"/>
      <c r="CE119" s="62"/>
      <c r="CF119" s="62"/>
      <c r="CG119" s="62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  <c r="EA119" s="62"/>
      <c r="EB119" s="62"/>
      <c r="EC119" s="62"/>
      <c r="ED119" s="62"/>
      <c r="EE119" s="62"/>
      <c r="EF119" s="62"/>
      <c r="EG119" s="62"/>
      <c r="EH119" s="62"/>
      <c r="EI119" s="62"/>
      <c r="EJ119" s="62"/>
      <c r="EK119" s="62"/>
      <c r="EL119" s="62"/>
      <c r="EM119" s="62"/>
      <c r="EN119" s="62"/>
      <c r="EO119" s="62"/>
      <c r="EP119" s="62"/>
      <c r="EQ119" s="62"/>
      <c r="ER119" s="62"/>
      <c r="ES119" s="62"/>
      <c r="ET119" s="62"/>
      <c r="EU119" s="62"/>
      <c r="EV119" s="62"/>
      <c r="EW119" s="62"/>
      <c r="EX119" s="62"/>
      <c r="EY119" s="62"/>
      <c r="EZ119" s="62"/>
      <c r="FA119" s="62"/>
      <c r="FB119" s="62"/>
      <c r="FC119" s="62"/>
      <c r="FD119" s="62"/>
      <c r="FE119" s="62"/>
      <c r="FF119" s="62"/>
      <c r="FG119" s="62"/>
      <c r="FH119" s="62"/>
      <c r="FI119" s="62"/>
      <c r="FJ119" s="67"/>
      <c r="FK119" s="67"/>
      <c r="FL119" s="67"/>
      <c r="FM119" s="67"/>
      <c r="FN119" s="67"/>
      <c r="FO119" s="67"/>
      <c r="FP119" s="67"/>
      <c r="FQ119" s="67"/>
      <c r="FR119" s="62"/>
      <c r="FS119" s="62"/>
      <c r="FT119" s="62"/>
      <c r="FU119" s="62"/>
      <c r="FV119" s="62"/>
      <c r="FW119" s="62"/>
      <c r="FX119" s="62"/>
      <c r="FY119" s="62"/>
      <c r="FZ119" s="62"/>
      <c r="GA119" s="62"/>
      <c r="GB119" s="62"/>
      <c r="GC119" s="62"/>
      <c r="GD119" s="62"/>
      <c r="GE119" s="62"/>
      <c r="GF119" s="63"/>
      <c r="GG119" s="63"/>
      <c r="GH119" s="62"/>
      <c r="GI119" s="62"/>
      <c r="GJ119" s="62"/>
      <c r="GK119" s="62"/>
      <c r="GL119" s="62"/>
      <c r="GM119" s="62"/>
      <c r="GN119" s="62"/>
      <c r="GO119" s="62"/>
      <c r="GP119" s="62"/>
      <c r="GQ119" s="62"/>
      <c r="GR119" s="62"/>
      <c r="GS119" s="62"/>
      <c r="GT119" s="62"/>
      <c r="GU119" s="62"/>
      <c r="GV119" s="62"/>
      <c r="GW119" s="62"/>
      <c r="GX119" s="62"/>
      <c r="GY119" s="62"/>
      <c r="GZ119" s="62"/>
      <c r="HA119" s="62"/>
      <c r="HB119" s="62"/>
      <c r="HC119" s="62"/>
      <c r="HD119" s="62"/>
      <c r="HE119" s="62"/>
      <c r="HF119" s="62"/>
      <c r="HG119" s="68" t="s">
        <v>257</v>
      </c>
      <c r="HH119" s="62" t="s">
        <v>336</v>
      </c>
      <c r="HI119" s="62"/>
      <c r="HJ119" s="62">
        <v>14</v>
      </c>
      <c r="HK119" s="62">
        <v>2023</v>
      </c>
      <c r="HL119" s="62" t="s">
        <v>301</v>
      </c>
      <c r="HM119" s="62">
        <v>2023</v>
      </c>
      <c r="HN119" s="62">
        <v>2023</v>
      </c>
      <c r="HO119" s="62">
        <v>2023</v>
      </c>
      <c r="HP119" s="70">
        <v>1</v>
      </c>
      <c r="HQ119" s="70">
        <v>0</v>
      </c>
      <c r="HR119" s="70">
        <v>0</v>
      </c>
      <c r="HS119" s="70">
        <v>0</v>
      </c>
      <c r="HT119" s="70">
        <v>0.96</v>
      </c>
      <c r="HU119" s="62" t="s">
        <v>262</v>
      </c>
      <c r="HV119" s="62" t="s">
        <v>278</v>
      </c>
      <c r="HW119" s="62"/>
      <c r="HX119" s="62"/>
    </row>
    <row r="120" spans="2:232" hidden="1" x14ac:dyDescent="0.2">
      <c r="B120" s="60">
        <v>22</v>
      </c>
      <c r="C120" s="60">
        <v>11</v>
      </c>
      <c r="D120" s="61" t="s">
        <v>349</v>
      </c>
      <c r="E120" s="62"/>
      <c r="F120" s="62"/>
      <c r="G120" s="62"/>
      <c r="H120" s="62"/>
      <c r="I120" s="62"/>
      <c r="J120" s="61" t="s">
        <v>350</v>
      </c>
      <c r="K120" s="60" t="s">
        <v>351</v>
      </c>
      <c r="L120" s="62" t="s">
        <v>352</v>
      </c>
      <c r="M120" s="63">
        <v>77587</v>
      </c>
      <c r="N120" s="73" t="s">
        <v>353</v>
      </c>
      <c r="O120" s="73"/>
      <c r="P120" s="73"/>
      <c r="Q120" s="73"/>
      <c r="R120" s="73"/>
      <c r="S120" s="71">
        <v>1726056.3</v>
      </c>
      <c r="T120" s="74" t="s">
        <v>254</v>
      </c>
      <c r="U120" s="74">
        <v>219944.29</v>
      </c>
      <c r="V120" s="74">
        <f>SUM(LIST_LOCATIONDETAILS334[[#This Row],[Building]:[BI]])</f>
        <v>1946000.59</v>
      </c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0" t="s">
        <v>269</v>
      </c>
      <c r="AQ120" s="62"/>
      <c r="AR120" s="62"/>
      <c r="AS120" s="60" t="s">
        <v>282</v>
      </c>
      <c r="AT120" s="60">
        <v>1962</v>
      </c>
      <c r="AU120" s="62"/>
      <c r="AV120" s="63"/>
      <c r="AW120" s="63"/>
      <c r="AX120" s="62"/>
      <c r="AY120" s="62"/>
      <c r="AZ120" s="60">
        <v>2</v>
      </c>
      <c r="BA120" s="60">
        <v>11690</v>
      </c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2"/>
      <c r="CB120" s="62"/>
      <c r="CC120" s="62"/>
      <c r="CD120" s="62"/>
      <c r="CE120" s="62"/>
      <c r="CF120" s="62"/>
      <c r="CG120" s="62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  <c r="EA120" s="62"/>
      <c r="EB120" s="62"/>
      <c r="EC120" s="62"/>
      <c r="ED120" s="62"/>
      <c r="EE120" s="62"/>
      <c r="EF120" s="62"/>
      <c r="EG120" s="62"/>
      <c r="EH120" s="62"/>
      <c r="EI120" s="62"/>
      <c r="EJ120" s="62"/>
      <c r="EK120" s="62"/>
      <c r="EL120" s="62"/>
      <c r="EM120" s="62"/>
      <c r="EN120" s="62"/>
      <c r="EO120" s="62"/>
      <c r="EP120" s="62"/>
      <c r="EQ120" s="62"/>
      <c r="ER120" s="62"/>
      <c r="ES120" s="62"/>
      <c r="ET120" s="62"/>
      <c r="EU120" s="62"/>
      <c r="EV120" s="62"/>
      <c r="EW120" s="62"/>
      <c r="EX120" s="62"/>
      <c r="EY120" s="62"/>
      <c r="EZ120" s="62"/>
      <c r="FA120" s="62"/>
      <c r="FB120" s="62"/>
      <c r="FC120" s="62"/>
      <c r="FD120" s="62"/>
      <c r="FE120" s="62"/>
      <c r="FF120" s="62"/>
      <c r="FG120" s="62"/>
      <c r="FH120" s="62"/>
      <c r="FI120" s="62"/>
      <c r="FJ120" s="67"/>
      <c r="FK120" s="67"/>
      <c r="FL120" s="67"/>
      <c r="FM120" s="67"/>
      <c r="FN120" s="67"/>
      <c r="FO120" s="67"/>
      <c r="FP120" s="67"/>
      <c r="FQ120" s="67"/>
      <c r="FR120" s="62"/>
      <c r="FS120" s="62"/>
      <c r="FT120" s="62"/>
      <c r="FU120" s="62"/>
      <c r="FV120" s="62"/>
      <c r="FW120" s="62"/>
      <c r="FX120" s="62"/>
      <c r="FY120" s="62"/>
      <c r="FZ120" s="62"/>
      <c r="GA120" s="62"/>
      <c r="GB120" s="62"/>
      <c r="GC120" s="62"/>
      <c r="GD120" s="62"/>
      <c r="GE120" s="62"/>
      <c r="GF120" s="63"/>
      <c r="GG120" s="63"/>
      <c r="GH120" s="62"/>
      <c r="GI120" s="62"/>
      <c r="GJ120" s="62"/>
      <c r="GK120" s="62"/>
      <c r="GL120" s="62"/>
      <c r="GM120" s="62"/>
      <c r="GN120" s="62"/>
      <c r="GO120" s="62"/>
      <c r="GP120" s="62"/>
      <c r="GQ120" s="62"/>
      <c r="GR120" s="62"/>
      <c r="GS120" s="62"/>
      <c r="GT120" s="62"/>
      <c r="GU120" s="62"/>
      <c r="GV120" s="62"/>
      <c r="GW120" s="62"/>
      <c r="GX120" s="62"/>
      <c r="GY120" s="62"/>
      <c r="GZ120" s="62"/>
      <c r="HA120" s="62"/>
      <c r="HB120" s="62"/>
      <c r="HC120" s="62"/>
      <c r="HD120" s="62"/>
      <c r="HE120" s="62"/>
      <c r="HF120" s="62"/>
      <c r="HG120" s="68" t="s">
        <v>257</v>
      </c>
      <c r="HH120" s="62" t="s">
        <v>336</v>
      </c>
      <c r="HI120" s="62"/>
      <c r="HJ120" s="62">
        <v>14</v>
      </c>
      <c r="HK120" s="62">
        <v>2023</v>
      </c>
      <c r="HL120" s="62" t="s">
        <v>301</v>
      </c>
      <c r="HM120" s="62">
        <v>2023</v>
      </c>
      <c r="HN120" s="62">
        <v>2023</v>
      </c>
      <c r="HO120" s="62">
        <v>2023</v>
      </c>
      <c r="HP120" s="70">
        <v>1</v>
      </c>
      <c r="HQ120" s="70">
        <v>0</v>
      </c>
      <c r="HR120" s="70">
        <v>0</v>
      </c>
      <c r="HS120" s="70">
        <v>0</v>
      </c>
      <c r="HT120" s="70">
        <v>0.96</v>
      </c>
      <c r="HU120" s="62" t="s">
        <v>262</v>
      </c>
      <c r="HV120" s="62" t="s">
        <v>278</v>
      </c>
      <c r="HW120" s="62"/>
      <c r="HX120" s="62"/>
    </row>
    <row r="121" spans="2:232" hidden="1" x14ac:dyDescent="0.2">
      <c r="B121" s="60">
        <v>22</v>
      </c>
      <c r="C121" s="60">
        <v>12</v>
      </c>
      <c r="D121" s="61" t="s">
        <v>349</v>
      </c>
      <c r="E121" s="62"/>
      <c r="F121" s="62"/>
      <c r="G121" s="62"/>
      <c r="H121" s="62"/>
      <c r="I121" s="62"/>
      <c r="J121" s="61" t="s">
        <v>350</v>
      </c>
      <c r="K121" s="60" t="s">
        <v>351</v>
      </c>
      <c r="L121" s="62" t="s">
        <v>352</v>
      </c>
      <c r="M121" s="63">
        <v>77587</v>
      </c>
      <c r="N121" s="73" t="s">
        <v>353</v>
      </c>
      <c r="O121" s="73"/>
      <c r="P121" s="73"/>
      <c r="Q121" s="73"/>
      <c r="R121" s="73"/>
      <c r="S121" s="71">
        <v>1275716.55</v>
      </c>
      <c r="T121" s="74" t="s">
        <v>254</v>
      </c>
      <c r="U121" s="74">
        <v>162559.34</v>
      </c>
      <c r="V121" s="74">
        <f>SUM(LIST_LOCATIONDETAILS334[[#This Row],[Building]:[BI]])</f>
        <v>1438275.8900000001</v>
      </c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0" t="s">
        <v>269</v>
      </c>
      <c r="AQ121" s="62"/>
      <c r="AR121" s="62"/>
      <c r="AS121" s="60" t="s">
        <v>282</v>
      </c>
      <c r="AT121" s="60">
        <v>1962</v>
      </c>
      <c r="AU121" s="62"/>
      <c r="AV121" s="63"/>
      <c r="AW121" s="63"/>
      <c r="AX121" s="62"/>
      <c r="AY121" s="62"/>
      <c r="AZ121" s="60">
        <v>2</v>
      </c>
      <c r="BA121" s="60">
        <v>8640</v>
      </c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2"/>
      <c r="CB121" s="62"/>
      <c r="CC121" s="62"/>
      <c r="CD121" s="62"/>
      <c r="CE121" s="62"/>
      <c r="CF121" s="62"/>
      <c r="CG121" s="62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  <c r="EA121" s="62"/>
      <c r="EB121" s="62"/>
      <c r="EC121" s="62"/>
      <c r="ED121" s="62"/>
      <c r="EE121" s="62"/>
      <c r="EF121" s="62"/>
      <c r="EG121" s="62"/>
      <c r="EH121" s="62"/>
      <c r="EI121" s="62"/>
      <c r="EJ121" s="62"/>
      <c r="EK121" s="62"/>
      <c r="EL121" s="62"/>
      <c r="EM121" s="62"/>
      <c r="EN121" s="62"/>
      <c r="EO121" s="62"/>
      <c r="EP121" s="62"/>
      <c r="EQ121" s="62"/>
      <c r="ER121" s="62"/>
      <c r="ES121" s="62"/>
      <c r="ET121" s="62"/>
      <c r="EU121" s="62"/>
      <c r="EV121" s="62"/>
      <c r="EW121" s="62"/>
      <c r="EX121" s="62"/>
      <c r="EY121" s="62"/>
      <c r="EZ121" s="62"/>
      <c r="FA121" s="62"/>
      <c r="FB121" s="62"/>
      <c r="FC121" s="62"/>
      <c r="FD121" s="62"/>
      <c r="FE121" s="62"/>
      <c r="FF121" s="62"/>
      <c r="FG121" s="62"/>
      <c r="FH121" s="62"/>
      <c r="FI121" s="62"/>
      <c r="FJ121" s="67"/>
      <c r="FK121" s="67"/>
      <c r="FL121" s="67"/>
      <c r="FM121" s="67"/>
      <c r="FN121" s="67"/>
      <c r="FO121" s="67"/>
      <c r="FP121" s="67"/>
      <c r="FQ121" s="67"/>
      <c r="FR121" s="62"/>
      <c r="FS121" s="62"/>
      <c r="FT121" s="62"/>
      <c r="FU121" s="62"/>
      <c r="FV121" s="62"/>
      <c r="FW121" s="62"/>
      <c r="FX121" s="62"/>
      <c r="FY121" s="62"/>
      <c r="FZ121" s="62"/>
      <c r="GA121" s="62"/>
      <c r="GB121" s="62"/>
      <c r="GC121" s="62"/>
      <c r="GD121" s="62"/>
      <c r="GE121" s="62"/>
      <c r="GF121" s="63"/>
      <c r="GG121" s="63"/>
      <c r="GH121" s="62"/>
      <c r="GI121" s="62"/>
      <c r="GJ121" s="62"/>
      <c r="GK121" s="62"/>
      <c r="GL121" s="62"/>
      <c r="GM121" s="62"/>
      <c r="GN121" s="62"/>
      <c r="GO121" s="62"/>
      <c r="GP121" s="62"/>
      <c r="GQ121" s="62"/>
      <c r="GR121" s="62"/>
      <c r="GS121" s="62"/>
      <c r="GT121" s="62"/>
      <c r="GU121" s="62"/>
      <c r="GV121" s="62"/>
      <c r="GW121" s="62"/>
      <c r="GX121" s="62"/>
      <c r="GY121" s="62"/>
      <c r="GZ121" s="62"/>
      <c r="HA121" s="62"/>
      <c r="HB121" s="62"/>
      <c r="HC121" s="62"/>
      <c r="HD121" s="62"/>
      <c r="HE121" s="62"/>
      <c r="HF121" s="62"/>
      <c r="HG121" s="68" t="s">
        <v>257</v>
      </c>
      <c r="HH121" s="62" t="s">
        <v>336</v>
      </c>
      <c r="HI121" s="62"/>
      <c r="HJ121" s="62">
        <v>11</v>
      </c>
      <c r="HK121" s="62">
        <v>2023</v>
      </c>
      <c r="HL121" s="62" t="s">
        <v>301</v>
      </c>
      <c r="HM121" s="62">
        <v>2023</v>
      </c>
      <c r="HN121" s="62">
        <v>2023</v>
      </c>
      <c r="HO121" s="62">
        <v>2023</v>
      </c>
      <c r="HP121" s="70">
        <v>1</v>
      </c>
      <c r="HQ121" s="70">
        <v>0</v>
      </c>
      <c r="HR121" s="70">
        <v>0</v>
      </c>
      <c r="HS121" s="70">
        <v>0</v>
      </c>
      <c r="HT121" s="70">
        <v>0.96</v>
      </c>
      <c r="HU121" s="62" t="s">
        <v>262</v>
      </c>
      <c r="HV121" s="62" t="s">
        <v>278</v>
      </c>
      <c r="HW121" s="62"/>
      <c r="HX121" s="62"/>
    </row>
    <row r="122" spans="2:232" hidden="1" x14ac:dyDescent="0.2">
      <c r="B122" s="60">
        <v>22</v>
      </c>
      <c r="C122" s="60">
        <v>13</v>
      </c>
      <c r="D122" s="61" t="s">
        <v>349</v>
      </c>
      <c r="E122" s="62"/>
      <c r="F122" s="62"/>
      <c r="G122" s="62"/>
      <c r="H122" s="62"/>
      <c r="I122" s="62"/>
      <c r="J122" s="61" t="s">
        <v>350</v>
      </c>
      <c r="K122" s="60" t="s">
        <v>351</v>
      </c>
      <c r="L122" s="62" t="s">
        <v>352</v>
      </c>
      <c r="M122" s="63">
        <v>77587</v>
      </c>
      <c r="N122" s="73" t="s">
        <v>353</v>
      </c>
      <c r="O122" s="73"/>
      <c r="P122" s="73"/>
      <c r="Q122" s="73"/>
      <c r="R122" s="73"/>
      <c r="S122" s="71">
        <v>1612068.67</v>
      </c>
      <c r="T122" s="74" t="s">
        <v>254</v>
      </c>
      <c r="U122" s="74">
        <v>205419.31</v>
      </c>
      <c r="V122" s="74">
        <f>SUM(LIST_LOCATIONDETAILS334[[#This Row],[Building]:[BI]])</f>
        <v>1817487.98</v>
      </c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0" t="s">
        <v>269</v>
      </c>
      <c r="AQ122" s="62"/>
      <c r="AR122" s="62"/>
      <c r="AS122" s="60" t="s">
        <v>282</v>
      </c>
      <c r="AT122" s="60">
        <v>1962</v>
      </c>
      <c r="AU122" s="62"/>
      <c r="AV122" s="63"/>
      <c r="AW122" s="63"/>
      <c r="AX122" s="62"/>
      <c r="AY122" s="62"/>
      <c r="AZ122" s="60">
        <v>2</v>
      </c>
      <c r="BA122" s="60">
        <v>10918</v>
      </c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2"/>
      <c r="CB122" s="62"/>
      <c r="CC122" s="62"/>
      <c r="CD122" s="62"/>
      <c r="CE122" s="62"/>
      <c r="CF122" s="62"/>
      <c r="CG122" s="62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  <c r="EA122" s="62"/>
      <c r="EB122" s="62"/>
      <c r="EC122" s="62"/>
      <c r="ED122" s="62"/>
      <c r="EE122" s="62"/>
      <c r="EF122" s="62"/>
      <c r="EG122" s="62"/>
      <c r="EH122" s="62"/>
      <c r="EI122" s="62"/>
      <c r="EJ122" s="62"/>
      <c r="EK122" s="62"/>
      <c r="EL122" s="62"/>
      <c r="EM122" s="62"/>
      <c r="EN122" s="62"/>
      <c r="EO122" s="62"/>
      <c r="EP122" s="62"/>
      <c r="EQ122" s="62"/>
      <c r="ER122" s="62"/>
      <c r="ES122" s="62"/>
      <c r="ET122" s="62"/>
      <c r="EU122" s="62"/>
      <c r="EV122" s="62"/>
      <c r="EW122" s="62"/>
      <c r="EX122" s="62"/>
      <c r="EY122" s="62"/>
      <c r="EZ122" s="62"/>
      <c r="FA122" s="62"/>
      <c r="FB122" s="62"/>
      <c r="FC122" s="62"/>
      <c r="FD122" s="62"/>
      <c r="FE122" s="62"/>
      <c r="FF122" s="62"/>
      <c r="FG122" s="62"/>
      <c r="FH122" s="62"/>
      <c r="FI122" s="62"/>
      <c r="FJ122" s="67"/>
      <c r="FK122" s="67"/>
      <c r="FL122" s="67"/>
      <c r="FM122" s="67"/>
      <c r="FN122" s="67"/>
      <c r="FO122" s="67"/>
      <c r="FP122" s="67"/>
      <c r="FQ122" s="67"/>
      <c r="FR122" s="62"/>
      <c r="FS122" s="62"/>
      <c r="FT122" s="62"/>
      <c r="FU122" s="62"/>
      <c r="FV122" s="62"/>
      <c r="FW122" s="62"/>
      <c r="FX122" s="62"/>
      <c r="FY122" s="62"/>
      <c r="FZ122" s="62"/>
      <c r="GA122" s="62"/>
      <c r="GB122" s="62"/>
      <c r="GC122" s="62"/>
      <c r="GD122" s="62"/>
      <c r="GE122" s="62"/>
      <c r="GF122" s="63"/>
      <c r="GG122" s="63"/>
      <c r="GH122" s="62"/>
      <c r="GI122" s="62"/>
      <c r="GJ122" s="62"/>
      <c r="GK122" s="62"/>
      <c r="GL122" s="62"/>
      <c r="GM122" s="62"/>
      <c r="GN122" s="62"/>
      <c r="GO122" s="62"/>
      <c r="GP122" s="62"/>
      <c r="GQ122" s="62"/>
      <c r="GR122" s="62"/>
      <c r="GS122" s="62"/>
      <c r="GT122" s="62"/>
      <c r="GU122" s="62"/>
      <c r="GV122" s="62"/>
      <c r="GW122" s="62"/>
      <c r="GX122" s="62"/>
      <c r="GY122" s="62"/>
      <c r="GZ122" s="62"/>
      <c r="HA122" s="62"/>
      <c r="HB122" s="62"/>
      <c r="HC122" s="62"/>
      <c r="HD122" s="62"/>
      <c r="HE122" s="62"/>
      <c r="HF122" s="62"/>
      <c r="HG122" s="68" t="s">
        <v>257</v>
      </c>
      <c r="HH122" s="62" t="s">
        <v>336</v>
      </c>
      <c r="HI122" s="62"/>
      <c r="HJ122" s="62">
        <v>14</v>
      </c>
      <c r="HK122" s="62">
        <v>2023</v>
      </c>
      <c r="HL122" s="62" t="s">
        <v>301</v>
      </c>
      <c r="HM122" s="62">
        <v>2023</v>
      </c>
      <c r="HN122" s="62">
        <v>2023</v>
      </c>
      <c r="HO122" s="62">
        <v>2023</v>
      </c>
      <c r="HP122" s="70">
        <v>1</v>
      </c>
      <c r="HQ122" s="70">
        <v>0</v>
      </c>
      <c r="HR122" s="70">
        <v>0</v>
      </c>
      <c r="HS122" s="70">
        <v>0</v>
      </c>
      <c r="HT122" s="70">
        <v>0.96</v>
      </c>
      <c r="HU122" s="62" t="s">
        <v>262</v>
      </c>
      <c r="HV122" s="62" t="s">
        <v>278</v>
      </c>
      <c r="HW122" s="62"/>
      <c r="HX122" s="62"/>
    </row>
    <row r="123" spans="2:232" hidden="1" x14ac:dyDescent="0.2">
      <c r="B123" s="60">
        <v>22</v>
      </c>
      <c r="C123" s="60">
        <v>14</v>
      </c>
      <c r="D123" s="61" t="s">
        <v>349</v>
      </c>
      <c r="E123" s="62"/>
      <c r="F123" s="62"/>
      <c r="G123" s="62"/>
      <c r="H123" s="62"/>
      <c r="I123" s="62"/>
      <c r="J123" s="61" t="s">
        <v>350</v>
      </c>
      <c r="K123" s="60" t="s">
        <v>351</v>
      </c>
      <c r="L123" s="62" t="s">
        <v>352</v>
      </c>
      <c r="M123" s="63">
        <v>77587</v>
      </c>
      <c r="N123" s="73" t="s">
        <v>353</v>
      </c>
      <c r="O123" s="73"/>
      <c r="P123" s="73"/>
      <c r="Q123" s="73"/>
      <c r="R123" s="73"/>
      <c r="S123" s="71">
        <v>1612068.67</v>
      </c>
      <c r="T123" s="74" t="s">
        <v>254</v>
      </c>
      <c r="U123" s="74">
        <v>205419.31</v>
      </c>
      <c r="V123" s="74">
        <f>SUM(LIST_LOCATIONDETAILS334[[#This Row],[Building]:[BI]])</f>
        <v>1817487.98</v>
      </c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0" t="s">
        <v>269</v>
      </c>
      <c r="AQ123" s="62"/>
      <c r="AR123" s="62"/>
      <c r="AS123" s="60" t="s">
        <v>282</v>
      </c>
      <c r="AT123" s="60">
        <v>1962</v>
      </c>
      <c r="AU123" s="62"/>
      <c r="AV123" s="63"/>
      <c r="AW123" s="63"/>
      <c r="AX123" s="62"/>
      <c r="AY123" s="62"/>
      <c r="AZ123" s="60">
        <v>2</v>
      </c>
      <c r="BA123" s="60">
        <v>10918</v>
      </c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2"/>
      <c r="CB123" s="62"/>
      <c r="CC123" s="62"/>
      <c r="CD123" s="62"/>
      <c r="CE123" s="62"/>
      <c r="CF123" s="62"/>
      <c r="CG123" s="62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  <c r="EA123" s="62"/>
      <c r="EB123" s="62"/>
      <c r="EC123" s="62"/>
      <c r="ED123" s="62"/>
      <c r="EE123" s="62"/>
      <c r="EF123" s="62"/>
      <c r="EG123" s="62"/>
      <c r="EH123" s="62"/>
      <c r="EI123" s="62"/>
      <c r="EJ123" s="62"/>
      <c r="EK123" s="62"/>
      <c r="EL123" s="62"/>
      <c r="EM123" s="62"/>
      <c r="EN123" s="62"/>
      <c r="EO123" s="62"/>
      <c r="EP123" s="62"/>
      <c r="EQ123" s="62"/>
      <c r="ER123" s="62"/>
      <c r="ES123" s="62"/>
      <c r="ET123" s="62"/>
      <c r="EU123" s="62"/>
      <c r="EV123" s="62"/>
      <c r="EW123" s="62"/>
      <c r="EX123" s="62"/>
      <c r="EY123" s="62"/>
      <c r="EZ123" s="62"/>
      <c r="FA123" s="62"/>
      <c r="FB123" s="62"/>
      <c r="FC123" s="62"/>
      <c r="FD123" s="62"/>
      <c r="FE123" s="62"/>
      <c r="FF123" s="62"/>
      <c r="FG123" s="62"/>
      <c r="FH123" s="62"/>
      <c r="FI123" s="62"/>
      <c r="FJ123" s="67"/>
      <c r="FK123" s="67"/>
      <c r="FL123" s="67"/>
      <c r="FM123" s="67"/>
      <c r="FN123" s="67"/>
      <c r="FO123" s="67"/>
      <c r="FP123" s="67"/>
      <c r="FQ123" s="67"/>
      <c r="FR123" s="62"/>
      <c r="FS123" s="62"/>
      <c r="FT123" s="62"/>
      <c r="FU123" s="62"/>
      <c r="FV123" s="62"/>
      <c r="FW123" s="62"/>
      <c r="FX123" s="62"/>
      <c r="FY123" s="62"/>
      <c r="FZ123" s="62"/>
      <c r="GA123" s="62"/>
      <c r="GB123" s="62"/>
      <c r="GC123" s="62"/>
      <c r="GD123" s="62"/>
      <c r="GE123" s="62"/>
      <c r="GF123" s="63"/>
      <c r="GG123" s="63"/>
      <c r="GH123" s="62"/>
      <c r="GI123" s="62"/>
      <c r="GJ123" s="62"/>
      <c r="GK123" s="62"/>
      <c r="GL123" s="62"/>
      <c r="GM123" s="62"/>
      <c r="GN123" s="62"/>
      <c r="GO123" s="62"/>
      <c r="GP123" s="62"/>
      <c r="GQ123" s="62"/>
      <c r="GR123" s="62"/>
      <c r="GS123" s="62"/>
      <c r="GT123" s="62"/>
      <c r="GU123" s="62"/>
      <c r="GV123" s="62"/>
      <c r="GW123" s="62"/>
      <c r="GX123" s="62"/>
      <c r="GY123" s="62"/>
      <c r="GZ123" s="62"/>
      <c r="HA123" s="62"/>
      <c r="HB123" s="62"/>
      <c r="HC123" s="62"/>
      <c r="HD123" s="62"/>
      <c r="HE123" s="62"/>
      <c r="HF123" s="62"/>
      <c r="HG123" s="68" t="s">
        <v>257</v>
      </c>
      <c r="HH123" s="62" t="s">
        <v>336</v>
      </c>
      <c r="HI123" s="62"/>
      <c r="HJ123" s="62">
        <v>14</v>
      </c>
      <c r="HK123" s="62">
        <v>2023</v>
      </c>
      <c r="HL123" s="62" t="s">
        <v>301</v>
      </c>
      <c r="HM123" s="62">
        <v>2023</v>
      </c>
      <c r="HN123" s="62">
        <v>2023</v>
      </c>
      <c r="HO123" s="62">
        <v>2023</v>
      </c>
      <c r="HP123" s="70">
        <v>1</v>
      </c>
      <c r="HQ123" s="70">
        <v>0</v>
      </c>
      <c r="HR123" s="70">
        <v>0</v>
      </c>
      <c r="HS123" s="70">
        <v>0</v>
      </c>
      <c r="HT123" s="70">
        <v>0.96</v>
      </c>
      <c r="HU123" s="62" t="s">
        <v>262</v>
      </c>
      <c r="HV123" s="62" t="s">
        <v>278</v>
      </c>
      <c r="HW123" s="62"/>
      <c r="HX123" s="62"/>
    </row>
    <row r="124" spans="2:232" hidden="1" x14ac:dyDescent="0.2">
      <c r="B124" s="60">
        <v>22</v>
      </c>
      <c r="C124" s="60">
        <v>15</v>
      </c>
      <c r="D124" s="61" t="s">
        <v>349</v>
      </c>
      <c r="E124" s="62"/>
      <c r="F124" s="62"/>
      <c r="G124" s="62"/>
      <c r="H124" s="62"/>
      <c r="I124" s="62"/>
      <c r="J124" s="61" t="s">
        <v>350</v>
      </c>
      <c r="K124" s="60" t="s">
        <v>351</v>
      </c>
      <c r="L124" s="62" t="s">
        <v>352</v>
      </c>
      <c r="M124" s="63">
        <v>77587</v>
      </c>
      <c r="N124" s="73" t="s">
        <v>353</v>
      </c>
      <c r="O124" s="73"/>
      <c r="P124" s="73"/>
      <c r="Q124" s="73"/>
      <c r="R124" s="73"/>
      <c r="S124" s="71">
        <v>1279260.21</v>
      </c>
      <c r="T124" s="74" t="s">
        <v>254</v>
      </c>
      <c r="U124" s="74">
        <v>163010.89000000001</v>
      </c>
      <c r="V124" s="74">
        <f>SUM(LIST_LOCATIONDETAILS334[[#This Row],[Building]:[BI]])</f>
        <v>1442271.1</v>
      </c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0" t="s">
        <v>269</v>
      </c>
      <c r="AQ124" s="62"/>
      <c r="AR124" s="62"/>
      <c r="AS124" s="60" t="s">
        <v>282</v>
      </c>
      <c r="AT124" s="60">
        <v>1962</v>
      </c>
      <c r="AU124" s="62"/>
      <c r="AV124" s="63"/>
      <c r="AW124" s="63"/>
      <c r="AX124" s="62"/>
      <c r="AY124" s="62"/>
      <c r="AZ124" s="60">
        <v>2</v>
      </c>
      <c r="BA124" s="60">
        <v>8664</v>
      </c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2"/>
      <c r="CB124" s="62"/>
      <c r="CC124" s="62"/>
      <c r="CD124" s="62"/>
      <c r="CE124" s="62"/>
      <c r="CF124" s="62"/>
      <c r="CG124" s="62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  <c r="EA124" s="62"/>
      <c r="EB124" s="62"/>
      <c r="EC124" s="62"/>
      <c r="ED124" s="62"/>
      <c r="EE124" s="62"/>
      <c r="EF124" s="62"/>
      <c r="EG124" s="62"/>
      <c r="EH124" s="62"/>
      <c r="EI124" s="62"/>
      <c r="EJ124" s="62"/>
      <c r="EK124" s="62"/>
      <c r="EL124" s="62"/>
      <c r="EM124" s="62"/>
      <c r="EN124" s="62"/>
      <c r="EO124" s="62"/>
      <c r="EP124" s="62"/>
      <c r="EQ124" s="62"/>
      <c r="ER124" s="62"/>
      <c r="ES124" s="62"/>
      <c r="ET124" s="62"/>
      <c r="EU124" s="62"/>
      <c r="EV124" s="62"/>
      <c r="EW124" s="62"/>
      <c r="EX124" s="62"/>
      <c r="EY124" s="62"/>
      <c r="EZ124" s="62"/>
      <c r="FA124" s="62"/>
      <c r="FB124" s="62"/>
      <c r="FC124" s="62"/>
      <c r="FD124" s="62"/>
      <c r="FE124" s="62"/>
      <c r="FF124" s="62"/>
      <c r="FG124" s="62"/>
      <c r="FH124" s="62"/>
      <c r="FI124" s="62"/>
      <c r="FJ124" s="67"/>
      <c r="FK124" s="67"/>
      <c r="FL124" s="67"/>
      <c r="FM124" s="67"/>
      <c r="FN124" s="67"/>
      <c r="FO124" s="67"/>
      <c r="FP124" s="67"/>
      <c r="FQ124" s="67"/>
      <c r="FR124" s="62"/>
      <c r="FS124" s="62"/>
      <c r="FT124" s="62"/>
      <c r="FU124" s="62"/>
      <c r="FV124" s="62"/>
      <c r="FW124" s="62"/>
      <c r="FX124" s="62"/>
      <c r="FY124" s="62"/>
      <c r="FZ124" s="62"/>
      <c r="GA124" s="62"/>
      <c r="GB124" s="62"/>
      <c r="GC124" s="62"/>
      <c r="GD124" s="62"/>
      <c r="GE124" s="62"/>
      <c r="GF124" s="63"/>
      <c r="GG124" s="63"/>
      <c r="GH124" s="62"/>
      <c r="GI124" s="62"/>
      <c r="GJ124" s="62"/>
      <c r="GK124" s="62"/>
      <c r="GL124" s="62"/>
      <c r="GM124" s="62"/>
      <c r="GN124" s="62"/>
      <c r="GO124" s="62"/>
      <c r="GP124" s="62"/>
      <c r="GQ124" s="62"/>
      <c r="GR124" s="62"/>
      <c r="GS124" s="62"/>
      <c r="GT124" s="62"/>
      <c r="GU124" s="62"/>
      <c r="GV124" s="62"/>
      <c r="GW124" s="62"/>
      <c r="GX124" s="62"/>
      <c r="GY124" s="62"/>
      <c r="GZ124" s="62"/>
      <c r="HA124" s="62"/>
      <c r="HB124" s="62"/>
      <c r="HC124" s="62"/>
      <c r="HD124" s="62"/>
      <c r="HE124" s="62"/>
      <c r="HF124" s="62"/>
      <c r="HG124" s="68" t="s">
        <v>257</v>
      </c>
      <c r="HH124" s="62" t="s">
        <v>336</v>
      </c>
      <c r="HI124" s="62"/>
      <c r="HJ124" s="62">
        <v>11</v>
      </c>
      <c r="HK124" s="62">
        <v>2023</v>
      </c>
      <c r="HL124" s="62" t="s">
        <v>301</v>
      </c>
      <c r="HM124" s="62">
        <v>2023</v>
      </c>
      <c r="HN124" s="62">
        <v>2023</v>
      </c>
      <c r="HO124" s="62">
        <v>2023</v>
      </c>
      <c r="HP124" s="70">
        <v>1</v>
      </c>
      <c r="HQ124" s="70">
        <v>0</v>
      </c>
      <c r="HR124" s="70">
        <v>0</v>
      </c>
      <c r="HS124" s="70">
        <v>0</v>
      </c>
      <c r="HT124" s="70">
        <v>0.96</v>
      </c>
      <c r="HU124" s="62" t="s">
        <v>262</v>
      </c>
      <c r="HV124" s="62" t="s">
        <v>278</v>
      </c>
      <c r="HW124" s="62"/>
      <c r="HX124" s="62"/>
    </row>
    <row r="125" spans="2:232" hidden="1" x14ac:dyDescent="0.2">
      <c r="B125" s="60">
        <v>22</v>
      </c>
      <c r="C125" s="60">
        <v>16</v>
      </c>
      <c r="D125" s="61" t="s">
        <v>349</v>
      </c>
      <c r="E125" s="62"/>
      <c r="F125" s="62"/>
      <c r="G125" s="62"/>
      <c r="H125" s="62"/>
      <c r="I125" s="62"/>
      <c r="J125" s="61" t="s">
        <v>350</v>
      </c>
      <c r="K125" s="60" t="s">
        <v>351</v>
      </c>
      <c r="L125" s="62" t="s">
        <v>352</v>
      </c>
      <c r="M125" s="63">
        <v>77587</v>
      </c>
      <c r="N125" s="73" t="s">
        <v>353</v>
      </c>
      <c r="O125" s="73"/>
      <c r="P125" s="73"/>
      <c r="Q125" s="73"/>
      <c r="R125" s="73"/>
      <c r="S125" s="71">
        <v>1279260.21</v>
      </c>
      <c r="T125" s="74" t="s">
        <v>254</v>
      </c>
      <c r="U125" s="74">
        <v>163010.89000000001</v>
      </c>
      <c r="V125" s="74">
        <f>SUM(LIST_LOCATIONDETAILS334[[#This Row],[Building]:[BI]])</f>
        <v>1442271.1</v>
      </c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0" t="s">
        <v>269</v>
      </c>
      <c r="AQ125" s="62"/>
      <c r="AR125" s="62"/>
      <c r="AS125" s="60" t="s">
        <v>282</v>
      </c>
      <c r="AT125" s="60">
        <v>1962</v>
      </c>
      <c r="AU125" s="62"/>
      <c r="AV125" s="63"/>
      <c r="AW125" s="63"/>
      <c r="AX125" s="62"/>
      <c r="AY125" s="62"/>
      <c r="AZ125" s="60">
        <v>2</v>
      </c>
      <c r="BA125" s="60">
        <v>8664</v>
      </c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2"/>
      <c r="CB125" s="62"/>
      <c r="CC125" s="62"/>
      <c r="CD125" s="62"/>
      <c r="CE125" s="62"/>
      <c r="CF125" s="62"/>
      <c r="CG125" s="62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  <c r="EA125" s="62"/>
      <c r="EB125" s="62"/>
      <c r="EC125" s="62"/>
      <c r="ED125" s="62"/>
      <c r="EE125" s="62"/>
      <c r="EF125" s="62"/>
      <c r="EG125" s="62"/>
      <c r="EH125" s="62"/>
      <c r="EI125" s="62"/>
      <c r="EJ125" s="62"/>
      <c r="EK125" s="62"/>
      <c r="EL125" s="62"/>
      <c r="EM125" s="62"/>
      <c r="EN125" s="62"/>
      <c r="EO125" s="62"/>
      <c r="EP125" s="62"/>
      <c r="EQ125" s="62"/>
      <c r="ER125" s="62"/>
      <c r="ES125" s="62"/>
      <c r="ET125" s="62"/>
      <c r="EU125" s="62"/>
      <c r="EV125" s="62"/>
      <c r="EW125" s="62"/>
      <c r="EX125" s="62"/>
      <c r="EY125" s="62"/>
      <c r="EZ125" s="62"/>
      <c r="FA125" s="62"/>
      <c r="FB125" s="62"/>
      <c r="FC125" s="62"/>
      <c r="FD125" s="62"/>
      <c r="FE125" s="62"/>
      <c r="FF125" s="62"/>
      <c r="FG125" s="62"/>
      <c r="FH125" s="62"/>
      <c r="FI125" s="62"/>
      <c r="FJ125" s="67"/>
      <c r="FK125" s="67"/>
      <c r="FL125" s="67"/>
      <c r="FM125" s="67"/>
      <c r="FN125" s="67"/>
      <c r="FO125" s="67"/>
      <c r="FP125" s="67"/>
      <c r="FQ125" s="67"/>
      <c r="FR125" s="62"/>
      <c r="FS125" s="62"/>
      <c r="FT125" s="62"/>
      <c r="FU125" s="62"/>
      <c r="FV125" s="62"/>
      <c r="FW125" s="62"/>
      <c r="FX125" s="62"/>
      <c r="FY125" s="62"/>
      <c r="FZ125" s="62"/>
      <c r="GA125" s="62"/>
      <c r="GB125" s="62"/>
      <c r="GC125" s="62"/>
      <c r="GD125" s="62"/>
      <c r="GE125" s="62"/>
      <c r="GF125" s="63"/>
      <c r="GG125" s="63"/>
      <c r="GH125" s="62"/>
      <c r="GI125" s="62"/>
      <c r="GJ125" s="62"/>
      <c r="GK125" s="62"/>
      <c r="GL125" s="62"/>
      <c r="GM125" s="62"/>
      <c r="GN125" s="62"/>
      <c r="GO125" s="62"/>
      <c r="GP125" s="62"/>
      <c r="GQ125" s="62"/>
      <c r="GR125" s="62"/>
      <c r="GS125" s="62"/>
      <c r="GT125" s="62"/>
      <c r="GU125" s="62"/>
      <c r="GV125" s="62"/>
      <c r="GW125" s="62"/>
      <c r="GX125" s="62"/>
      <c r="GY125" s="62"/>
      <c r="GZ125" s="62"/>
      <c r="HA125" s="62"/>
      <c r="HB125" s="62"/>
      <c r="HC125" s="62"/>
      <c r="HD125" s="62"/>
      <c r="HE125" s="62"/>
      <c r="HF125" s="62"/>
      <c r="HG125" s="68" t="s">
        <v>257</v>
      </c>
      <c r="HH125" s="62" t="s">
        <v>336</v>
      </c>
      <c r="HI125" s="62"/>
      <c r="HJ125" s="62">
        <v>11</v>
      </c>
      <c r="HK125" s="62">
        <v>2023</v>
      </c>
      <c r="HL125" s="62" t="s">
        <v>301</v>
      </c>
      <c r="HM125" s="62">
        <v>2023</v>
      </c>
      <c r="HN125" s="62">
        <v>2023</v>
      </c>
      <c r="HO125" s="62">
        <v>2023</v>
      </c>
      <c r="HP125" s="70">
        <v>1</v>
      </c>
      <c r="HQ125" s="70">
        <v>0</v>
      </c>
      <c r="HR125" s="70">
        <v>0</v>
      </c>
      <c r="HS125" s="70">
        <v>0</v>
      </c>
      <c r="HT125" s="70">
        <v>0.96</v>
      </c>
      <c r="HU125" s="62" t="s">
        <v>262</v>
      </c>
      <c r="HV125" s="62" t="s">
        <v>278</v>
      </c>
      <c r="HW125" s="62"/>
      <c r="HX125" s="62"/>
    </row>
    <row r="126" spans="2:232" hidden="1" x14ac:dyDescent="0.2">
      <c r="B126" s="60">
        <v>22</v>
      </c>
      <c r="C126" s="60">
        <v>17</v>
      </c>
      <c r="D126" s="61" t="s">
        <v>349</v>
      </c>
      <c r="E126" s="62"/>
      <c r="F126" s="62"/>
      <c r="G126" s="62"/>
      <c r="H126" s="62"/>
      <c r="I126" s="62"/>
      <c r="J126" s="61" t="s">
        <v>350</v>
      </c>
      <c r="K126" s="60" t="s">
        <v>351</v>
      </c>
      <c r="L126" s="62" t="s">
        <v>352</v>
      </c>
      <c r="M126" s="63">
        <v>77587</v>
      </c>
      <c r="N126" s="73" t="s">
        <v>353</v>
      </c>
      <c r="O126" s="73"/>
      <c r="P126" s="73"/>
      <c r="Q126" s="73"/>
      <c r="R126" s="73"/>
      <c r="S126" s="71">
        <v>34550.660000000003</v>
      </c>
      <c r="T126" s="74" t="s">
        <v>254</v>
      </c>
      <c r="U126" s="74">
        <v>4402.6499999999996</v>
      </c>
      <c r="V126" s="74">
        <f>SUM(LIST_LOCATIONDETAILS334[[#This Row],[Building]:[BI]])</f>
        <v>38953.310000000005</v>
      </c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0" t="s">
        <v>269</v>
      </c>
      <c r="AQ126" s="62"/>
      <c r="AR126" s="62"/>
      <c r="AS126" s="60" t="s">
        <v>282</v>
      </c>
      <c r="AT126" s="60">
        <v>1962</v>
      </c>
      <c r="AU126" s="62"/>
      <c r="AV126" s="63"/>
      <c r="AW126" s="63"/>
      <c r="AX126" s="62"/>
      <c r="AY126" s="62"/>
      <c r="AZ126" s="60">
        <v>2</v>
      </c>
      <c r="BA126" s="60">
        <v>234</v>
      </c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2"/>
      <c r="CB126" s="62"/>
      <c r="CC126" s="62"/>
      <c r="CD126" s="62"/>
      <c r="CE126" s="62"/>
      <c r="CF126" s="62"/>
      <c r="CG126" s="62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  <c r="EA126" s="62"/>
      <c r="EB126" s="62"/>
      <c r="EC126" s="62"/>
      <c r="ED126" s="62"/>
      <c r="EE126" s="62"/>
      <c r="EF126" s="62"/>
      <c r="EG126" s="62"/>
      <c r="EH126" s="62"/>
      <c r="EI126" s="62"/>
      <c r="EJ126" s="62"/>
      <c r="EK126" s="62"/>
      <c r="EL126" s="62"/>
      <c r="EM126" s="62"/>
      <c r="EN126" s="62"/>
      <c r="EO126" s="62"/>
      <c r="EP126" s="62"/>
      <c r="EQ126" s="62"/>
      <c r="ER126" s="62"/>
      <c r="ES126" s="62"/>
      <c r="ET126" s="62"/>
      <c r="EU126" s="62"/>
      <c r="EV126" s="62"/>
      <c r="EW126" s="62"/>
      <c r="EX126" s="62"/>
      <c r="EY126" s="62"/>
      <c r="EZ126" s="62"/>
      <c r="FA126" s="62"/>
      <c r="FB126" s="62"/>
      <c r="FC126" s="62"/>
      <c r="FD126" s="62"/>
      <c r="FE126" s="62"/>
      <c r="FF126" s="62"/>
      <c r="FG126" s="62"/>
      <c r="FH126" s="62"/>
      <c r="FI126" s="62"/>
      <c r="FJ126" s="67"/>
      <c r="FK126" s="67"/>
      <c r="FL126" s="67"/>
      <c r="FM126" s="67"/>
      <c r="FN126" s="67"/>
      <c r="FO126" s="67"/>
      <c r="FP126" s="67"/>
      <c r="FQ126" s="67"/>
      <c r="FR126" s="62"/>
      <c r="FS126" s="62"/>
      <c r="FT126" s="62"/>
      <c r="FU126" s="62"/>
      <c r="FV126" s="62"/>
      <c r="FW126" s="62"/>
      <c r="FX126" s="62"/>
      <c r="FY126" s="62"/>
      <c r="FZ126" s="62"/>
      <c r="GA126" s="62"/>
      <c r="GB126" s="62"/>
      <c r="GC126" s="62"/>
      <c r="GD126" s="62"/>
      <c r="GE126" s="62"/>
      <c r="GF126" s="63"/>
      <c r="GG126" s="63"/>
      <c r="GH126" s="62"/>
      <c r="GI126" s="62"/>
      <c r="GJ126" s="62"/>
      <c r="GK126" s="62"/>
      <c r="GL126" s="62"/>
      <c r="GM126" s="62"/>
      <c r="GN126" s="62"/>
      <c r="GO126" s="62"/>
      <c r="GP126" s="62"/>
      <c r="GQ126" s="62"/>
      <c r="GR126" s="62"/>
      <c r="GS126" s="62"/>
      <c r="GT126" s="62"/>
      <c r="GU126" s="62"/>
      <c r="GV126" s="62"/>
      <c r="GW126" s="62"/>
      <c r="GX126" s="62"/>
      <c r="GY126" s="62"/>
      <c r="GZ126" s="62"/>
      <c r="HA126" s="62"/>
      <c r="HB126" s="62"/>
      <c r="HC126" s="62"/>
      <c r="HD126" s="62"/>
      <c r="HE126" s="62"/>
      <c r="HF126" s="62"/>
      <c r="HG126" s="68" t="s">
        <v>257</v>
      </c>
      <c r="HH126" s="62" t="s">
        <v>336</v>
      </c>
      <c r="HI126" s="62"/>
      <c r="HJ126" s="62">
        <v>0</v>
      </c>
      <c r="HK126" s="62">
        <v>2023</v>
      </c>
      <c r="HL126" s="62" t="s">
        <v>301</v>
      </c>
      <c r="HM126" s="62">
        <v>2023</v>
      </c>
      <c r="HN126" s="62">
        <v>2023</v>
      </c>
      <c r="HO126" s="62">
        <v>2023</v>
      </c>
      <c r="HP126" s="70">
        <v>1</v>
      </c>
      <c r="HQ126" s="70">
        <v>0</v>
      </c>
      <c r="HR126" s="70">
        <v>0</v>
      </c>
      <c r="HS126" s="70">
        <v>0</v>
      </c>
      <c r="HT126" s="70">
        <v>0.96</v>
      </c>
      <c r="HU126" s="62" t="s">
        <v>262</v>
      </c>
      <c r="HV126" s="62" t="s">
        <v>278</v>
      </c>
      <c r="HW126" s="62"/>
      <c r="HX126" s="62"/>
    </row>
    <row r="127" spans="2:232" hidden="1" x14ac:dyDescent="0.2">
      <c r="B127" s="60">
        <v>22</v>
      </c>
      <c r="C127" s="60">
        <v>18</v>
      </c>
      <c r="D127" s="61" t="s">
        <v>349</v>
      </c>
      <c r="E127" s="62"/>
      <c r="F127" s="62"/>
      <c r="G127" s="62"/>
      <c r="H127" s="62"/>
      <c r="I127" s="62"/>
      <c r="J127" s="61" t="s">
        <v>350</v>
      </c>
      <c r="K127" s="60" t="s">
        <v>351</v>
      </c>
      <c r="L127" s="62" t="s">
        <v>352</v>
      </c>
      <c r="M127" s="63">
        <v>77587</v>
      </c>
      <c r="N127" s="73" t="s">
        <v>353</v>
      </c>
      <c r="O127" s="73"/>
      <c r="P127" s="73"/>
      <c r="Q127" s="73"/>
      <c r="R127" s="73"/>
      <c r="S127" s="71">
        <v>49906.5</v>
      </c>
      <c r="T127" s="74" t="s">
        <v>254</v>
      </c>
      <c r="U127" s="74">
        <v>6359.38</v>
      </c>
      <c r="V127" s="74">
        <f>SUM(LIST_LOCATIONDETAILS334[[#This Row],[Building]:[BI]])</f>
        <v>56265.88</v>
      </c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0" t="s">
        <v>269</v>
      </c>
      <c r="AQ127" s="62"/>
      <c r="AR127" s="62"/>
      <c r="AS127" s="60" t="s">
        <v>282</v>
      </c>
      <c r="AT127" s="60">
        <v>1962</v>
      </c>
      <c r="AU127" s="62"/>
      <c r="AV127" s="63"/>
      <c r="AW127" s="63"/>
      <c r="AX127" s="62"/>
      <c r="AY127" s="62"/>
      <c r="AZ127" s="60">
        <v>2</v>
      </c>
      <c r="BA127" s="60">
        <v>338</v>
      </c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2"/>
      <c r="CB127" s="62"/>
      <c r="CC127" s="62"/>
      <c r="CD127" s="62"/>
      <c r="CE127" s="62"/>
      <c r="CF127" s="62"/>
      <c r="CG127" s="62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  <c r="EA127" s="62"/>
      <c r="EB127" s="62"/>
      <c r="EC127" s="62"/>
      <c r="ED127" s="62"/>
      <c r="EE127" s="62"/>
      <c r="EF127" s="62"/>
      <c r="EG127" s="62"/>
      <c r="EH127" s="62"/>
      <c r="EI127" s="62"/>
      <c r="EJ127" s="62"/>
      <c r="EK127" s="62"/>
      <c r="EL127" s="62"/>
      <c r="EM127" s="62"/>
      <c r="EN127" s="62"/>
      <c r="EO127" s="62"/>
      <c r="EP127" s="62"/>
      <c r="EQ127" s="62"/>
      <c r="ER127" s="62"/>
      <c r="ES127" s="62"/>
      <c r="ET127" s="62"/>
      <c r="EU127" s="62"/>
      <c r="EV127" s="62"/>
      <c r="EW127" s="62"/>
      <c r="EX127" s="62"/>
      <c r="EY127" s="62"/>
      <c r="EZ127" s="62"/>
      <c r="FA127" s="62"/>
      <c r="FB127" s="62"/>
      <c r="FC127" s="62"/>
      <c r="FD127" s="62"/>
      <c r="FE127" s="62"/>
      <c r="FF127" s="62"/>
      <c r="FG127" s="62"/>
      <c r="FH127" s="62"/>
      <c r="FI127" s="62"/>
      <c r="FJ127" s="67"/>
      <c r="FK127" s="67"/>
      <c r="FL127" s="67"/>
      <c r="FM127" s="67"/>
      <c r="FN127" s="67"/>
      <c r="FO127" s="67"/>
      <c r="FP127" s="67"/>
      <c r="FQ127" s="67"/>
      <c r="FR127" s="62"/>
      <c r="FS127" s="62"/>
      <c r="FT127" s="62"/>
      <c r="FU127" s="62"/>
      <c r="FV127" s="62"/>
      <c r="FW127" s="62"/>
      <c r="FX127" s="62"/>
      <c r="FY127" s="62"/>
      <c r="FZ127" s="62"/>
      <c r="GA127" s="62"/>
      <c r="GB127" s="62"/>
      <c r="GC127" s="62"/>
      <c r="GD127" s="62"/>
      <c r="GE127" s="62"/>
      <c r="GF127" s="63"/>
      <c r="GG127" s="63"/>
      <c r="GH127" s="62"/>
      <c r="GI127" s="62"/>
      <c r="GJ127" s="62"/>
      <c r="GK127" s="62"/>
      <c r="GL127" s="62"/>
      <c r="GM127" s="62"/>
      <c r="GN127" s="62"/>
      <c r="GO127" s="62"/>
      <c r="GP127" s="62"/>
      <c r="GQ127" s="62"/>
      <c r="GR127" s="62"/>
      <c r="GS127" s="62"/>
      <c r="GT127" s="62"/>
      <c r="GU127" s="62"/>
      <c r="GV127" s="62"/>
      <c r="GW127" s="62"/>
      <c r="GX127" s="62"/>
      <c r="GY127" s="62"/>
      <c r="GZ127" s="62"/>
      <c r="HA127" s="62"/>
      <c r="HB127" s="62"/>
      <c r="HC127" s="62"/>
      <c r="HD127" s="62"/>
      <c r="HE127" s="62"/>
      <c r="HF127" s="62"/>
      <c r="HG127" s="68" t="s">
        <v>257</v>
      </c>
      <c r="HH127" s="62" t="s">
        <v>336</v>
      </c>
      <c r="HI127" s="62"/>
      <c r="HJ127" s="62">
        <v>0</v>
      </c>
      <c r="HK127" s="62">
        <v>2023</v>
      </c>
      <c r="HL127" s="62" t="s">
        <v>301</v>
      </c>
      <c r="HM127" s="62">
        <v>2023</v>
      </c>
      <c r="HN127" s="62">
        <v>2023</v>
      </c>
      <c r="HO127" s="62">
        <v>2023</v>
      </c>
      <c r="HP127" s="70">
        <v>1</v>
      </c>
      <c r="HQ127" s="70">
        <v>0</v>
      </c>
      <c r="HR127" s="70">
        <v>0</v>
      </c>
      <c r="HS127" s="70">
        <v>0</v>
      </c>
      <c r="HT127" s="70">
        <v>0.96</v>
      </c>
      <c r="HU127" s="62" t="s">
        <v>262</v>
      </c>
      <c r="HV127" s="62" t="s">
        <v>278</v>
      </c>
      <c r="HW127" s="62"/>
      <c r="HX127" s="62"/>
    </row>
    <row r="128" spans="2:232" ht="12" thickBot="1" x14ac:dyDescent="0.25">
      <c r="B128" s="75"/>
      <c r="C128" s="75"/>
      <c r="D128" s="75"/>
      <c r="E128" s="7"/>
      <c r="F128" s="7"/>
      <c r="G128" s="7"/>
      <c r="H128" s="7"/>
      <c r="I128" s="7"/>
      <c r="J128" s="7"/>
      <c r="K128" s="76"/>
      <c r="L128" s="7"/>
      <c r="M128" s="77"/>
      <c r="N128" s="78" t="s">
        <v>239</v>
      </c>
      <c r="O128" s="6"/>
      <c r="P128" s="6"/>
      <c r="Q128" s="6"/>
      <c r="R128" s="6"/>
      <c r="S128" s="79">
        <f>SUBTOTAL(109,LIST_LOCATIONDETAILS334[Building])</f>
        <v>15476200</v>
      </c>
      <c r="T128" s="79">
        <f>SUBTOTAL(109,LIST_LOCATIONDETAILS334[Contents])</f>
        <v>50000</v>
      </c>
      <c r="U128" s="79">
        <f>SUM(LIST_LOCATIONDETAILS334[BI])</f>
        <v>35363071.910000026</v>
      </c>
      <c r="V128" s="79">
        <f>SUBTOTAL(109,LIST_LOCATIONDETAILS334[TIV])</f>
        <v>17871624</v>
      </c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7"/>
      <c r="AW128" s="77"/>
      <c r="AX128" s="7"/>
      <c r="AY128" s="80"/>
      <c r="AZ128" s="80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  <c r="EI128" s="7"/>
      <c r="EJ128" s="7"/>
      <c r="EK128" s="7"/>
      <c r="EL128" s="7"/>
      <c r="EM128" s="7"/>
      <c r="EN128" s="7"/>
      <c r="EO128" s="7"/>
      <c r="EP128" s="7"/>
      <c r="EQ128" s="7"/>
      <c r="ER128" s="7"/>
      <c r="ES128" s="7"/>
      <c r="ET128" s="7"/>
      <c r="EU128" s="7"/>
      <c r="EV128" s="7"/>
      <c r="EW128" s="7"/>
      <c r="EX128" s="7"/>
      <c r="EY128" s="7"/>
      <c r="EZ128" s="7"/>
      <c r="FA128" s="7"/>
      <c r="FB128" s="7"/>
      <c r="FC128" s="7"/>
      <c r="FD128" s="7"/>
      <c r="FE128" s="7"/>
      <c r="FF128" s="7"/>
      <c r="FG128" s="7"/>
      <c r="FH128" s="7"/>
      <c r="FI128" s="7"/>
      <c r="FJ128" s="81"/>
      <c r="FK128" s="81"/>
      <c r="FL128" s="81"/>
      <c r="FM128" s="81"/>
      <c r="FN128" s="81"/>
      <c r="FO128" s="81"/>
      <c r="FP128" s="81"/>
      <c r="FQ128" s="81"/>
      <c r="FR128" s="7"/>
      <c r="FS128" s="7"/>
      <c r="FT128" s="7"/>
      <c r="FU128" s="7"/>
      <c r="FV128" s="7"/>
      <c r="FW128" s="7"/>
      <c r="FX128" s="7"/>
      <c r="FY128" s="7"/>
      <c r="FZ128" s="7"/>
      <c r="GA128" s="7"/>
      <c r="GB128" s="7"/>
      <c r="GC128" s="7"/>
      <c r="GD128" s="7"/>
      <c r="GE128" s="7"/>
      <c r="GF128" s="77"/>
      <c r="GG128" s="77"/>
      <c r="GH128" s="7"/>
      <c r="GI128" s="7"/>
      <c r="GJ128" s="7"/>
      <c r="GK128" s="7"/>
      <c r="GL128" s="7"/>
      <c r="GM128" s="7"/>
      <c r="GN128" s="7"/>
      <c r="GO128" s="7"/>
      <c r="GP128" s="7"/>
      <c r="GQ128" s="7"/>
      <c r="GR128" s="7"/>
      <c r="GS128" s="7"/>
      <c r="GT128" s="7"/>
      <c r="GU128" s="7"/>
      <c r="GV128" s="7"/>
      <c r="GW128" s="7"/>
      <c r="GX128" s="7"/>
      <c r="GY128" s="7"/>
      <c r="GZ128" s="7"/>
      <c r="HA128" s="7"/>
      <c r="HB128" s="7"/>
      <c r="HC128" s="7"/>
      <c r="HD128" s="7"/>
      <c r="HE128" s="7"/>
      <c r="HF128" s="7"/>
      <c r="HG128" s="7"/>
      <c r="HH128" s="7"/>
      <c r="HI128" s="7"/>
      <c r="HJ128" s="7"/>
      <c r="HK128" s="7"/>
      <c r="HL128" s="7"/>
      <c r="HM128" s="7"/>
      <c r="HN128" s="7"/>
      <c r="HO128" s="7"/>
      <c r="HP128" s="7"/>
      <c r="HQ128" s="7"/>
      <c r="HR128" s="7"/>
      <c r="HS128" s="7"/>
      <c r="HT128" s="7"/>
      <c r="HU128" s="7"/>
      <c r="HV128" s="7"/>
      <c r="HW128" s="7"/>
      <c r="HX128" s="7"/>
    </row>
  </sheetData>
  <mergeCells count="14">
    <mergeCell ref="HH4:HU4"/>
    <mergeCell ref="HV4:HX4"/>
    <mergeCell ref="J2:M2"/>
    <mergeCell ref="Z2:AC2"/>
    <mergeCell ref="B4:R4"/>
    <mergeCell ref="S4:V4"/>
    <mergeCell ref="W4:AM4"/>
    <mergeCell ref="AN4:BF4"/>
    <mergeCell ref="BH4:CH4"/>
    <mergeCell ref="CI4:DC4"/>
    <mergeCell ref="DD4:DH4"/>
    <mergeCell ref="DI4:EJ4"/>
    <mergeCell ref="EL4:EO4"/>
    <mergeCell ref="EP4:HG4"/>
  </mergeCells>
  <dataValidations count="76">
    <dataValidation allowBlank="1" showInputMessage="1" sqref="HK5:HO5" xr:uid="{BD845A26-75B3-4685-B83F-ADF63BC30973}"/>
    <dataValidation type="decimal" allowBlank="1" showInputMessage="1" showErrorMessage="1" error="Use Numbers Only" sqref="S6:S8 S10:S20" xr:uid="{C2E732AC-D056-4126-8B3C-AF8D30B65981}">
      <formula1>0</formula1>
      <formula2>99999999999999900</formula2>
    </dataValidation>
    <dataValidation type="whole" showInputMessage="1" error="Please enter a value between 0-100%" sqref="HG5" xr:uid="{621A128E-E434-41FA-B61C-ACA531703BA3}">
      <formula1>#REF!</formula1>
      <formula2>#REF!</formula2>
    </dataValidation>
    <dataValidation type="list" allowBlank="1" showInputMessage="1" showErrorMessage="1" sqref="O6:O127" xr:uid="{E29D12F7-CB5D-45A2-9CD5-3C0CCE600A1C}">
      <formula1>COUNTRIES</formula1>
    </dataValidation>
    <dataValidation type="list" allowBlank="1" showInputMessage="1" showErrorMessage="1" sqref="L6:L127" xr:uid="{8CC9EF31-100A-4511-B34E-BC690F5BC761}">
      <formula1>UNITED_STATES</formula1>
    </dataValidation>
    <dataValidation type="list" allowBlank="1" showInputMessage="1" showErrorMessage="1" sqref="AN6:AN127" xr:uid="{0EAA8C50-4016-4841-AFDD-4CF8B738B1EE}">
      <formula1>"RMS,ATC,FIRE,ISO,FIRE_AFM,RMSTH,RMSEQ,RMS BR,RMS IND,"</formula1>
    </dataValidation>
    <dataValidation type="list" allowBlank="1" showInputMessage="1" showErrorMessage="1" sqref="AQ6:AQ127" xr:uid="{441DEEE0-7CC6-498C-998C-7757457264DD}">
      <formula1>"ATC,IBC,SIC,NAICS,NCCI,ISO,WCOCC,RMS BR,RMS IND,"</formula1>
    </dataValidation>
    <dataValidation type="list" allowBlank="1" showInputMessage="1" showErrorMessage="1" sqref="BB6:BB127" xr:uid="{97BEC63B-E5EA-4D7B-B2B3-44CA7F3F1E5C}">
      <formula1>"Damageable,Unknown damageability,Highly damageable,Moderately damageable,Slightly damageable,"</formula1>
    </dataValidation>
    <dataValidation type="list" allowBlank="1" showInputMessage="1" showErrorMessage="1" sqref="BD6:BD127" xr:uid="{8AC25FC4-D51F-4A74-BE5D-2D069EEFAA6D}">
      <formula1>"Feet,Meters,"</formula1>
    </dataValidation>
    <dataValidation type="list" allowBlank="1" showInputMessage="1" showErrorMessage="1" sqref="BE6:BE127" xr:uid="{2D264D05-985D-406E-9A4B-2E32A682D1B1}">
      <formula1>"Unknown,Owner Insured,Tenant Insured,"</formula1>
    </dataValidation>
    <dataValidation type="list" allowBlank="1" showInputMessage="1" showErrorMessage="1" sqref="BF6:BG127" xr:uid="{830D7842-31E5-40D1-8943-07DF82FEAF3E}">
      <formula1>"Unknown,Townhouse/Row House,Apartment,Condominium,Others,"</formula1>
    </dataValidation>
    <dataValidation type="list" allowBlank="1" showInputMessage="1" showErrorMessage="1" sqref="BH6:BH127" xr:uid="{16B4EF3B-13C3-4827-B3FD-ACBCA4D7078C}">
      <formula1>"Unknown,Obvious signs of deterioration or distress,Fortified Bronze/Opt 1,Fortified Bronze/Opt 2 ,Fortified Silver/Opt 1,Fortified Silver/Opt 2,Fortified Gold/Opt 1,Fortified Gold/Opt 2,Fortified for Safer Living Post 2001,Certified design &amp; construction,"</formula1>
    </dataValidation>
    <dataValidation type="list" allowBlank="1" showInputMessage="1" showErrorMessage="1" sqref="BI6:BI127" xr:uid="{3D2134C0-089F-496B-842A-B16441BE2443}">
      <formula1>"Unknown,Metal sheath exposed,Metal sheath  concealed,Builtup/single ply mem w/ gutters,Builtup/single ply mem w/o gutters,Concrete/clay tiles,Wood shakes,Normal shingle 55mph,Normal shingle 55mph w/ SWR,Rated shingle 110mph,Rated shingle 110mph w/ SWR,"</formula1>
    </dataValidation>
    <dataValidation type="list" allowBlank="1" showInputMessage="1" showErrorMessage="1" sqref="BJ6:BJ127" xr:uid="{0A124390-5DA6-4F1B-B5D6-5E0B7590646A}">
      <formula1>"Unknown,0-5 years,6-10 years,11 years or more,Obvious signs of deterioration and distress,"</formula1>
    </dataValidation>
    <dataValidation type="list" allowBlank="1" showInputMessage="1" showErrorMessage="1" sqref="BK6:BK127" xr:uid="{C3064995-1F36-42C5-A5BD-8C5EEEEC8717}">
      <formula1>"Unknown,Flat roof with parapets,Flat roof without parapets,Hip roof (slope&lt;=26.5 degrees),Hip roof (slope&gt;26.5 degrees),Gable roof (slope&lt;=26.5 degrees),Gable roof (slope&gt;26.5 degrees),Braced gable (slope&lt;=26.5 degrees),Braced gable (slope&gt;26.5 degrees),"</formula1>
    </dataValidation>
    <dataValidation type="list" allowBlank="1" showInputMessage="1" showErrorMessage="1" sqref="BL6:BL127" xr:uid="{A370C407-580E-4C80-BE64-9CE3F4334F46}">
      <formula1>"Unknown,Toe nailing / No anchorage,Clips,Single wraps,Double wraps,Structural,"</formula1>
    </dataValidation>
    <dataValidation type="list" allowBlank="1" showInputMessage="1" showErrorMessage="1" sqref="BM6:BM127" xr:uid="{06953843-C5F2-4ADE-99DA-E28C09FED81A}">
      <formula1>"Unknown,No basement,Basement with flood protection,Basement without flood protection,Basement with unknown flood protection,"</formula1>
    </dataValidation>
    <dataValidation type="list" allowBlank="1" showInputMessage="1" showErrorMessage="1" sqref="BN6:BN127" xr:uid="{B2B1AEA0-A4DE-4D0B-80FA-A6211103BCD9}">
      <formula1>"Unknown,Large Signs,Extensive ornamentation,"</formula1>
    </dataValidation>
    <dataValidation type="list" allowBlank="1" showInputMessage="1" showErrorMessage="1" sqref="BO6:BO127" xr:uid="{773866D8-646A-4035-BD2C-0CA3BD78638C}">
      <formula1>"Unknown ,Brick veneer,Metal sheathing,Wood,EIFS / Stucco,Impact rated glazing,Glazing not designed for impact with gravel rooftop within 1000 ft,Glazing not designed for impact without gravel rooftop within 1000 ft,Vinyl siding,"</formula1>
    </dataValidation>
    <dataValidation type="list" allowBlank="1" showInputMessage="1" showErrorMessage="1" sqref="BP6:BP127" xr:uid="{9CC49695-E3C7-411E-82E1-E1CCF2428DA0}">
      <formula1>"Unknown,Batten decking/Skipped sheathing,6d Nails - Any nail schedule,8d Nails - Minimum nail schedule,8d Nails - High wind nail schedule,10d Nails - High wind nail schedule,Dimensional lumber/tongue and groove decking,"</formula1>
    </dataValidation>
    <dataValidation type="list" allowBlank="1" showInputMessage="1" showErrorMessage="1" sqref="CQ6:CQ127 BQ6:BQ127" xr:uid="{49747FBA-6867-4175-A7A2-F2DA550F2BAB}">
      <formula1>"Unknown,Bolted,Unbolted,"</formula1>
    </dataValidation>
    <dataValidation type="list" allowBlank="1" showInputMessage="1" showErrorMessage="1" sqref="BR6:BR127" xr:uid="{F78186DA-BC08-4A01-B70D-DA0C58DCA891}">
      <formula1>"Unknown,None,Fences / Carports ,Screen Enclosure / Lanai (&gt;15%bldg value),Screen Enclosure / Lanai (&lt;15%bldg value),"</formula1>
    </dataValidation>
    <dataValidation type="list" allowBlank="1" showInputMessage="1" showErrorMessage="1" sqref="BS6:BS127" xr:uid="{005109C1-0579-4DEF-A3AC-62B988007A5A}">
      <formula1>"Unknown,Properly installed with adequate anchorage,Obvious signs of deficiencies in the installation,"</formula1>
    </dataValidation>
    <dataValidation type="list" allowBlank="1" showInputMessage="1" showErrorMessage="1" sqref="ED6:ED127 BT6:BT127" xr:uid="{9A1F9260-99D7-432A-88DE-29B2963E568C}">
      <formula1>"Unknown,None,Generally protected,Generally unprotected,"</formula1>
    </dataValidation>
    <dataValidation type="list" allowBlank="1" showInputMessage="1" showErrorMessage="1" sqref="BU6:BU127" xr:uid="{969D958C-9907-408E-B702-826582E90E46}">
      <formula1>"Unknown,open-large,open-medium,open-small,glazed open-large,glazed open-medium,glazed open-small,glazed open cover w/plywood/OSB,1 glazed ext open w/o windborne debris protect,No glazed ext open w/ windborne debris protect,"</formula1>
    </dataValidation>
    <dataValidation type="list" allowBlank="1" showInputMessage="1" showErrorMessage="1" sqref="CC6:CC127" xr:uid="{827FBBE8-5193-41DF-AB99-97263BC3FE01}">
      <formula1>"Unknown,Compliant with ES1,Not compliant with ES1,"</formula1>
    </dataValidation>
    <dataValidation type="list" allowBlank="1" showInputMessage="1" showErrorMessage="1" sqref="CD6:CD127" xr:uid="{97A66411-B01D-482E-8667-607F90D0470E}">
      <formula1>"Unknown,Basement level with more than 10% of contents value,Grade level with more than 50% of contents value,Elevated contents &lt; 50% contents value at grade level,Elevated contents &lt; 10% contents value at grade level,"</formula1>
    </dataValidation>
    <dataValidation type="list" allowBlank="1" showInputMessage="1" showErrorMessage="1" sqref="CE6:CE127" xr:uid="{285A7971-F6DB-4F21-9318-AFF88EFF52F6}">
      <formula1>"Unknown,Poor,Average,Good,Excellent,"</formula1>
    </dataValidation>
    <dataValidation type="list" allowBlank="1" showInputMessage="1" showErrorMessage="1" sqref="CF6:CF127" xr:uid="{DDA9C6D7-7912-471E-AA23-1A77EB390712}">
      <formula1>"Unknown,No/Poor bracing,Superior bracing,"</formula1>
    </dataValidation>
    <dataValidation type="list" allowBlank="1" showInputMessage="1" showErrorMessage="1" sqref="CG6:CG127" xr:uid="{F12013C9-0B60-4B85-A654-94AD36F4CCF9}">
      <formula1>"Unknown,Severe Missile Exposure,"</formula1>
    </dataValidation>
    <dataValidation type="list" allowBlank="1" showInputMessage="1" showErrorMessage="1" sqref="CI6:CI127" xr:uid="{D0C86208-373B-43EA-8A40-9940AC292F86}">
      <formula1>"Unknown,Regular,Irregular,"</formula1>
    </dataValidation>
    <dataValidation type="list" allowBlank="1" showInputMessage="1" showErrorMessage="1" sqref="CJ6:CK127 CM6:CN127 CX6:CX127 DB6:DB127" xr:uid="{65C5BAB4-57E4-40DF-B7EF-BE2E0DC4E783}">
      <formula1>"Unknown,No,Yes,"</formula1>
    </dataValidation>
    <dataValidation type="list" allowBlank="1" showInputMessage="1" showErrorMessage="1" sqref="CL6:CL127" xr:uid="{2AFCBA37-B0E3-4CB5-B24E-B101E4B6778B}">
      <formula1>"Unknown,Glass,Pre-Cast,Unreinforced Masonry,"</formula1>
    </dataValidation>
    <dataValidation type="list" allowBlank="1" showInputMessage="1" showErrorMessage="1" sqref="CO6:CO127" xr:uid="{8AA17CF8-49D3-4567-90C0-F4954ADDCC9B}">
      <formula1>"Unknown,Little or None,Average,Extensive,"</formula1>
    </dataValidation>
    <dataValidation type="list" allowBlank="1" showInputMessage="1" showErrorMessage="1" sqref="CP6:CP127" xr:uid="{79C1AA55-D1CD-497B-BF06-6C253CB416FF}">
      <formula1>"Unknown,No Cripple Walls,Braced Cripple Walls,Unbraced Cripple Walls,"</formula1>
    </dataValidation>
    <dataValidation type="list" allowBlank="1" showInputMessage="1" showErrorMessage="1" sqref="CR6:CR127" xr:uid="{7B92DB00-9590-4333-982B-AAD63C20FB6D}">
      <formula1>"Unknown,Purlins Properly Anchored (Tilt_Up),Purlins Not Properly Anchored (Tilt_Up),"</formula1>
    </dataValidation>
    <dataValidation type="list" allowBlank="1" showInputMessage="1" showErrorMessage="1" sqref="CS6:CT127 CY6:CY127 EF6:EF127" xr:uid="{ACF81615-488C-4F7A-8233-7CC615CC4E64}">
      <formula1>"Unknown,Yes,No,"</formula1>
    </dataValidation>
    <dataValidation type="list" allowBlank="1" showInputMessage="1" showErrorMessage="1" sqref="CU6:CU127" xr:uid="{3A50CC6A-7C9E-4D94-80DC-2C6CC80E7E24}">
      <formula1>"Unknown,Generally Well Braced,Somewhat Braced,Generally Unbraced,"</formula1>
    </dataValidation>
    <dataValidation type="list" allowBlank="1" showInputMessage="1" showErrorMessage="1" sqref="CV6:CV127" xr:uid="{54A49559-DC6B-45CC-9683-0FE36BD43148}">
      <formula1>"Unknown,Good,Average,Poor,"</formula1>
    </dataValidation>
    <dataValidation type="list" allowBlank="1" showInputMessage="1" showErrorMessage="1" sqref="CW6:CW127" xr:uid="{CC154EA2-4528-495F-AA43-7C5C3BEE5074}">
      <formula1>"Unknown,No Signs of Fatigue / Good Maint.,Few Signs of Fatigue / Avg. Maint.,Obvious Fatigue / Poor Maint.,"</formula1>
    </dataValidation>
    <dataValidation type="list" allowBlank="1" showInputMessage="1" showErrorMessage="1" sqref="CZ6:CZ127" xr:uid="{7FD5C8F8-5A40-40C7-BFC1-0419AB4C2C41}">
      <formula1>"Unknown,Wet,Dry,"</formula1>
    </dataValidation>
    <dataValidation type="list" allowBlank="1" showInputMessage="1" showErrorMessage="1" sqref="DA6:DA127" xr:uid="{B50FBD83-400F-4959-A8D3-3E3B3522FE99}">
      <formula1>"Unknown,Low,High,"</formula1>
    </dataValidation>
    <dataValidation type="list" allowBlank="1" showInputMessage="1" showErrorMessage="1" sqref="DC6:DC127 DF6:DF127" xr:uid="{C0EF4CCD-6E66-475A-8A2A-B5143E4D1F32}">
      <formula1>"No,Yes,"</formula1>
    </dataValidation>
    <dataValidation type="list" allowBlank="1" showInputMessage="1" showErrorMessage="1" sqref="DD6:DD127" xr:uid="{383621D3-9E2D-4B7A-AFFB-B41BA48C9122}">
      <formula1>"Unknown,Poor,Average,Good,"</formula1>
    </dataValidation>
    <dataValidation type="list" allowBlank="1" showInputMessage="1" showErrorMessage="1" sqref="DE6:DE127" xr:uid="{DB7FC896-9578-40E9-AF34-720F06D608FA}">
      <formula1>"Unknown,Minimal,Average,Extensive,"</formula1>
    </dataValidation>
    <dataValidation type="list" allowBlank="1" showInputMessage="1" showErrorMessage="1" sqref="DI6:DI127" xr:uid="{B5610B65-A744-413F-89CE-2D9085AF04B5}">
      <formula1>"Unknown,Certified Design and Construction,Certificate of Occupancy,No Design Review/Inspection,Obvious Signs of Duress or Distress,IBHS Fortified program,"</formula1>
    </dataValidation>
    <dataValidation type="list" allowBlank="1" showInputMessage="1" showErrorMessage="1" sqref="DJ6:DJ127" xr:uid="{26EC5C31-E9B2-4C2C-A95A-7E67B17EB71E}">
      <formula1>"Unknown,Poured / Cast in-Place Concrete,Precast Concrete,Heavy Steel Frames,Light Gauge Steel Purlins,Wood Purlins,"</formula1>
    </dataValidation>
    <dataValidation type="list" allowBlank="1" showInputMessage="1" showErrorMessage="1" sqref="DK6:DK127" xr:uid="{EA471125-4737-49BF-BADF-EB64A7EB0914}">
      <formula1>"Unknown,Concrete fill,Metal sheath,Single ply,Builtup roof,Normal shingle 55mph,Concrete/clay tiles,Wood shingles,Shingle110mph,Shingle110 mph w/ SWR,Single Ply Mem/Ball,Builtup roof/Ball,Normal Shingle/Lam,ULS2218Cls1,ULS2218Cls2,ULS2218Cls3,ULS2218Cls4,"</formula1>
    </dataValidation>
    <dataValidation type="list" allowBlank="1" showInputMessage="1" showErrorMessage="1" sqref="DL6:DL127" xr:uid="{DFB24D7F-9199-48E4-B803-9A8C11CCCA55}">
      <formula1>"Unknown,Building maintenance enforced,No building maintenance,"</formula1>
    </dataValidation>
    <dataValidation type="list" allowBlank="1" showInputMessage="1" showErrorMessage="1" sqref="DM6:DM127" xr:uid="{757949BA-AF9D-4B7C-BBC0-17887A541AF2}">
      <formula1>"Unknown,0-5 years,5-10 years,10 years or more,"</formula1>
    </dataValidation>
    <dataValidation type="list" allowBlank="1" showInputMessage="1" showErrorMessage="1" sqref="DN6:DN127" xr:uid="{7BB7379F-5048-4D9C-9829-5103B96D164F}">
      <formula1>"Unknown,Gable roof high pitch ( &gt; 30 degrees),Hip roof,Gable roof unknown pitch,Flat roof,Gable roof low pitch (&lt; 10 degrees),Gable roof medium pitch (10-30 degrees),Monoslope roof,Braced Gable – Medium or Unknown pitch,Braced Gable – High Pitch,"</formula1>
    </dataValidation>
    <dataValidation type="list" allowBlank="1" showInputMessage="1" showErrorMessage="1" sqref="DO6:DO127" xr:uid="{F430F6AA-4376-4621-91B0-8AB31FD9A513}">
      <formula1>"Unknown,Presence of parapets,No parapets,"</formula1>
    </dataValidation>
    <dataValidation type="list" allowBlank="1" showInputMessage="1" showErrorMessage="1" sqref="DP6:DP127" xr:uid="{A15730D9-DA0C-4FD5-8B31-6D6B0F11AF3B}">
      <formula1>"Unknown,Metal or Bolt Anchors (High Strength),Toe Nailing,No anchorage,Metal or Bolt Anchors (Average Strength),Metal or Bolt Anchors (Above Average Strength),"</formula1>
    </dataValidation>
    <dataValidation type="list" allowBlank="1" showInputMessage="1" showErrorMessage="1" sqref="DQ6:DQ127" xr:uid="{A7302C07-65B3-4E06-A979-FEB1FE597B0B}">
      <formula1>"Unknown,Little ornamentation,Average amount of ornamentation,Heavy ornamentation,"</formula1>
    </dataValidation>
    <dataValidation type="list" allowBlank="1" showInputMessage="1" showErrorMessage="1" sqref="DR6:DR127" xr:uid="{5A7B17C1-0B02-414E-82C3-40FB10777E19}">
      <formula1>"Unknown,Reinforced Masonry / Concrete,Unreinforced Masonry,Brick Veneer,Metal Sheathing,Wood,EIFS,Laminated Glass,Non-Protected Glass,Vinyl,"</formula1>
    </dataValidation>
    <dataValidation type="list" allowBlank="1" showInputMessage="1" showErrorMessage="1" sqref="DS6:DS127" xr:uid="{D5C1E132-D036-4A90-BEA9-94DDA225CA05}">
      <formula1>"Unknown,Galvanized nails unknown ,Galvanized min ,Galvanized high wind ,6d nails unknown ,6d nails min ,6d nails high-wind ,8d nails unknown ,8d nails min ,8d nails high-wind ,10d nails or screws,"</formula1>
    </dataValidation>
    <dataValidation type="list" allowBlank="1" showInputMessage="1" showErrorMessage="1" sqref="DT6:DT127" xr:uid="{7F14FDA6-E5B0-44FE-939F-8EF3EC391283}">
      <formula1>"Unknown,Engineered,Non-Engineered,Poor wall to foundation anchorage,No foundation,Pier and Beam/ Stacked Block/ CMU Wall,Slab-on-grade/ Poured-in-place,"</formula1>
    </dataValidation>
    <dataValidation type="list" allowBlank="1" showInputMessage="1" showErrorMessage="1" sqref="DU6:DU127" xr:uid="{2066DB97-306B-4ECB-B363-C67548516A4C}">
      <formula1>"Unknown,None,Canopies/ Roof Overhangs/ Carports,Skylights,Skylights with protection,"</formula1>
    </dataValidation>
    <dataValidation type="list" allowBlank="1" showInputMessage="1" showErrorMessage="1" sqref="DV6:DV127" xr:uid="{1594930C-1452-46E1-A20A-D3EBB1678CD6}">
      <formula1>"Unknown,No Equipment and/or No skylights,Equipment Securely Anchored to roof,Small Roof Area w/ Poorly Anchored Equipment,Substantial Roof Area Covered,"</formula1>
    </dataValidation>
    <dataValidation type="list" allowBlank="1" showInputMessage="1" showErrorMessage="1" sqref="DW6:DW127" xr:uid="{85995FB5-4E80-4265-86D4-A3B49D14810D}">
      <formula1>"Unknown,None,Generally braced,Generally non-braced,"</formula1>
    </dataValidation>
    <dataValidation type="list" allowBlank="1" showInputMessage="1" showErrorMessage="1" sqref="DX6:DX127" xr:uid="{69BBB484-A922-42BC-8307-72790D780FAC}">
      <formula1>"Unknown,Engineered shutter,Simple plywood shutter,No shutter,Well-designed plywood shutter,Laminated Glass (non-impact rated),Impact resistant glass,Shutter Designed for Pressure Only,"</formula1>
    </dataValidation>
    <dataValidation type="list" allowBlank="1" showInputMessage="1" showErrorMessage="1" sqref="DY6:DY127" xr:uid="{B35231A6-7BFC-4ECB-B688-CDCA3F761250}">
      <formula1>"Unknown,Designed for wind pressure and impact resistant,Designed for wind pressure only,Not designed for wind protection,No door,"</formula1>
    </dataValidation>
    <dataValidation type="list" allowBlank="1" showInputMessage="1" showErrorMessage="1" sqref="DZ6:EA127" xr:uid="{C4AB7AB8-9AFC-4C4D-9FA0-A1D1AFF59AB2}">
      <formula1>"Unknown,Low,Average,High,Very high,"</formula1>
    </dataValidation>
    <dataValidation type="list" allowBlank="1" showInputMessage="1" showErrorMessage="1" sqref="EB6:EB127" xr:uid="{8B0645F3-E5E0-4FEF-ACF1-5468123C3F76}">
      <formula1>"Unknown,None,Small Airborne Missiles/Gravel Etc.,Protective Foliage,Gravel Ballast Present,Potential severe missile exposure,"</formula1>
    </dataValidation>
    <dataValidation type="list" allowBlank="1" showInputMessage="1" showErrorMessage="1" sqref="EC6:EC127" xr:uid="{DC7A0CAE-A14D-44E5-94BD-3559F5707C94}">
      <formula1>"Basement w/Unknown Flood Protection,No Basement,Basement w/ Flood Protection,Basement w/out Flood Protection,"</formula1>
    </dataValidation>
    <dataValidation type="list" allowBlank="1" showInputMessage="1" showErrorMessage="1" sqref="EE6:EE127" xr:uid="{E778F9D0-8A36-4606-AAFA-5A7F6E88B07C}">
      <formula1>"Unknown,Protection Membrane,No Protection,"</formula1>
    </dataValidation>
    <dataValidation type="list" allowBlank="1" showInputMessage="1" showErrorMessage="1" sqref="EG6:EG127" xr:uid="{71D96DC4-955F-4F31-B236-CFE612ABFAED}">
      <formula1>"Unknown,Good Quality,Poor Quality,None,"</formula1>
    </dataValidation>
    <dataValidation type="list" allowBlank="1" showInputMessage="1" showErrorMessage="1" sqref="EH6:EI127" xr:uid="{B6BA2D63-A51C-4227-813F-9FBB7EB83AB7}">
      <formula1>"Unknown,Present,None,"</formula1>
    </dataValidation>
    <dataValidation type="list" allowBlank="1" showInputMessage="1" showErrorMessage="1" sqref="EJ6:EJ127" xr:uid="{08ADB3F4-1846-4624-9379-484A9ADA765E}">
      <formula1>"Unknown,No Trees,Low Tree Risk,High Tree Risk,"</formula1>
    </dataValidation>
    <dataValidation type="list" allowBlank="1" showInputMessage="1" showErrorMessage="1" sqref="EL6:EL127 EO6:EO127" xr:uid="{3ADE6268-33CC-4402-B439-DC0707522E6E}">
      <formula1>"Unknown,Present,Absent,"</formula1>
    </dataValidation>
    <dataValidation type="list" allowBlank="1" showInputMessage="1" showErrorMessage="1" sqref="EN6:EN127" xr:uid="{D06847E6-27BC-4D22-9C63-58A270E0927E}">
      <formula1>"Default,Superior,Inferior,"</formula1>
    </dataValidation>
    <dataValidation type="decimal" allowBlank="1" showInputMessage="1" showErrorMessage="1" error="Use Numbers Only" sqref="T6:U127" xr:uid="{B97204DA-7CCD-43AF-B41C-9927830B6DA8}">
      <formula1>0</formula1>
      <formula2>999999999999999000000</formula2>
    </dataValidation>
    <dataValidation type="whole" allowBlank="1" showInputMessage="1" showErrorMessage="1" error="Use only a 4 digit number for year built " sqref="AT6:AT127" xr:uid="{138BD426-E7CC-4C04-BD14-4A3C1F2B1959}">
      <formula1>1700</formula1>
      <formula2>3000</formula2>
    </dataValidation>
    <dataValidation type="whole" allowBlank="1" showInputMessage="1" showErrorMessage="1" error="Use a whole number only which represents the majority of the risk&quot;" sqref="AY6:AY127" xr:uid="{103DEF1A-51AA-4A3F-BDB1-FA85276805AE}">
      <formula1>0</formula1>
      <formula2>1000000</formula2>
    </dataValidation>
    <dataValidation type="whole" allowBlank="1" showInputMessage="1" showErrorMessage="1" error="Use a whole number only which represents a majority of the risk" sqref="AZ6:AZ127" xr:uid="{E07FBDA5-B986-46F3-A722-F474DEB5C6AF}">
      <formula1>0</formula1>
      <formula2>2000</formula2>
    </dataValidation>
    <dataValidation type="whole" allowBlank="1" showInputMessage="1" showErrorMessage="1" error="Use a whole number only which represents a majority of the risk" sqref="BA6:BA127" xr:uid="{EB555EB0-7539-4A74-872D-F0216B8118D1}">
      <formula1>0</formula1>
      <formula2>10000000000000</formula2>
    </dataValidation>
  </dataValidations>
  <pageMargins left="0.7" right="0.7" top="0.75" bottom="0.75" header="0.3" footer="0.3"/>
  <legacy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214730C9FD5144A9E9E487DFDF8EFD" ma:contentTypeVersion="0" ma:contentTypeDescription="Create a new document." ma:contentTypeScope="" ma:versionID="dbb8985bd792f3110068986c6c6b771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1d5eec3c12ee2e8127422d567928f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D249ACD-58B2-46D8-A460-25C7F6EA7C67}"/>
</file>

<file path=customXml/itemProps2.xml><?xml version="1.0" encoding="utf-8"?>
<ds:datastoreItem xmlns:ds="http://schemas.openxmlformats.org/officeDocument/2006/customXml" ds:itemID="{F4D5AAB5-453D-4AB7-A392-79AC3D0FC49D}"/>
</file>

<file path=customXml/itemProps3.xml><?xml version="1.0" encoding="utf-8"?>
<ds:datastoreItem xmlns:ds="http://schemas.openxmlformats.org/officeDocument/2006/customXml" ds:itemID="{64A341E6-E99E-47CD-9E15-170F1EB3338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RUNNING SOV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Lesley Bolton</dc:creator>
  <cp:lastModifiedBy>Klement, Jon</cp:lastModifiedBy>
  <cp:lastPrinted>2021-03-17T22:56:15Z</cp:lastPrinted>
  <dcterms:created xsi:type="dcterms:W3CDTF">2014-08-21T18:40:53Z</dcterms:created>
  <dcterms:modified xsi:type="dcterms:W3CDTF">2024-05-20T21:19:18Z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0x0101007F214730C9FD5144A9E9E487DFDF8EFD</vt:lpwstr>
  </property>
</Properties>
</file>